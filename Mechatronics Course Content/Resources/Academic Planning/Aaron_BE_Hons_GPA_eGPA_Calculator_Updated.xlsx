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a626e3954741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PA Calculator" sheetId="1" r:id="Rd511b06227b3475a"/>
    <x:sheet xmlns:r="http://schemas.openxmlformats.org/officeDocument/2006/relationships" name="Grade Scale" sheetId="2" r:id="Rcc141e0e025341a1"/>
    <x:sheet xmlns:r="http://schemas.openxmlformats.org/officeDocument/2006/relationships" name="Instructions" sheetId="3" r:id="Re577c37d646749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b/>
      <x:sz val="12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5B2C6F"/>
      </x:patternFill>
    </x:fill>
    <x:fill>
      <x:patternFill patternType="solid">
        <x:fgColor rgb="FF7D3C98"/>
      </x:patternFill>
    </x:fill>
    <x:fill>
      <x:patternFill patternType="solid">
        <x:fgColor rgb="FF6C3483"/>
      </x:patternFill>
    </x:fill>
    <x:fill>
      <x:patternFill patternType="solid">
        <x:fgColor rgb="FFFFF7D6"/>
      </x:patternFill>
    </x:fill>
    <x:fill>
      <x:patternFill patternType="solid">
        <x:fgColor rgb="FFF3E8FF"/>
      </x:patternFill>
    </x:fill>
    <x:fill>
      <x:patternFill patternType="solid">
        <x:fgColor rgb="FFF3F4F6"/>
      </x:patternFill>
    </x:fill>
    <x:fill>
      <x:patternFill patternType="solid">
        <x:fgColor rgb="FF6C3483"/>
      </x:patternFill>
    </x:fill>
    <x:fill>
      <x:patternFill patternType="solid">
        <x:fgColor rgb="FF7D3C98"/>
      </x:patternFill>
    </x:fill>
    <x:fill>
      <x:patternFill patternType="solid">
        <x:fgColor rgb="FFFFF7D6"/>
      </x:patternFill>
    </x:fill>
  </x:fills>
  <x:borders count="61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right/>
      <x:top/>
    </x:border>
    <x:border>
      <x:left/>
      <x:right/>
    </x:border>
    <x:border>
      <x:left/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1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3" borderId="18" xfId="0" applyNumberFormat="1" applyFont="1" applyFill="1" applyBorder="1" applyAlignment="1">
      <x:alignment horizontal="center"/>
    </x:xf>
    <x:xf numFmtId="0" fontId="1" fillId="3" borderId="19" xfId="0" applyNumberFormat="1" applyFont="1" applyFill="1" applyBorder="1" applyAlignment="1">
      <x:alignment horizontal="center"/>
    </x:xf>
    <x:xf numFmtId="0" fontId="3" fillId="0" borderId="20" xfId="0" applyNumberFormat="1" applyFont="1" applyFill="1" applyBorder="1"/>
    <x:xf numFmtId="0" fontId="0" fillId="0" borderId="21" xfId="0" applyNumberFormat="1" applyFont="1" applyFill="1" applyBorder="1"/>
    <x:xf numFmtId="0" fontId="3" fillId="0" borderId="22" xfId="0" applyNumberFormat="1" applyFont="1" applyFill="1" applyBorder="1"/>
    <x:xf numFmtId="0" fontId="0" fillId="0" borderId="23" xfId="0" applyNumberFormat="1" applyFont="1" applyFill="1" applyBorder="1"/>
    <x:xf numFmtId="0" fontId="1" fillId="3" borderId="24" xfId="0" applyNumberFormat="1" applyFont="1" applyFill="1" applyBorder="1" applyAlignment="1">
      <x:alignment horizontal="center"/>
    </x:xf>
    <x:xf numFmtId="0" fontId="1" fillId="3" borderId="25" xfId="0" applyNumberFormat="1" applyFont="1" applyFill="1" applyBorder="1" applyAlignment="1">
      <x:alignment horizontal="center"/>
    </x:xf>
    <x:xf numFmtId="0" fontId="3" fillId="0" borderId="26" xfId="0" applyNumberFormat="1" applyFont="1" applyFill="1" applyBorder="1"/>
    <x:xf numFmtId="0" fontId="0" fillId="0" borderId="27" xfId="0" applyNumberFormat="1" applyFont="1" applyFill="1" applyBorder="1"/>
    <x:xf numFmtId="0" fontId="3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0" fillId="0" borderId="21" xfId="0" applyNumberFormat="1" applyFont="1" applyFill="1" applyBorder="1"/>
    <x:xf numFmtId="200" fontId="0" fillId="0" borderId="27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45" xfId="0" applyNumberFormat="1" applyFont="1" applyFill="1" applyBorder="1"/>
    <x:xf numFmtId="0" fontId="0" fillId="0" borderId="30" xfId="0" applyNumberFormat="1" applyFont="1" applyFill="1" applyBorder="1" applyAlignment="1">
      <x:alignment vertical="center"/>
    </x:xf>
    <x:xf numFmtId="0" fontId="0" fillId="0" borderId="31" xfId="0" applyNumberFormat="1" applyFont="1" applyFill="1" applyBorder="1" applyAlignment="1">
      <x:alignment vertical="center"/>
    </x:xf>
    <x:xf numFmtId="0" fontId="0" fillId="0" borderId="32" xfId="0" applyNumberFormat="1" applyFont="1" applyFill="1" applyBorder="1" applyAlignment="1">
      <x:alignment vertical="center"/>
    </x:xf>
    <x:xf numFmtId="0" fontId="0" fillId="0" borderId="3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34" xfId="0" applyNumberFormat="1" applyFont="1" applyFill="1" applyBorder="1" applyAlignment="1">
      <x:alignment vertical="center"/>
    </x:xf>
    <x:xf numFmtId="0" fontId="0" fillId="0" borderId="35" xfId="0" applyNumberFormat="1" applyFont="1" applyFill="1" applyBorder="1" applyAlignment="1">
      <x:alignment vertical="center"/>
    </x:xf>
    <x:xf numFmtId="0" fontId="0" fillId="0" borderId="36" xfId="0" applyNumberFormat="1" applyFont="1" applyFill="1" applyBorder="1" applyAlignment="1">
      <x:alignment vertical="center"/>
    </x:xf>
    <x:xf numFmtId="0" fontId="0" fillId="0" borderId="37" xfId="0" applyNumberFormat="1" applyFont="1" applyFill="1" applyBorder="1" applyAlignment="1">
      <x:alignment vertical="center"/>
    </x:xf>
    <x:xf numFmtId="0" fontId="0" fillId="0" borderId="38" xfId="0" applyNumberFormat="1" applyFont="1" applyFill="1" applyBorder="1" applyAlignment="1">
      <x:alignment vertical="center"/>
    </x:xf>
    <x:xf numFmtId="0" fontId="0" fillId="0" borderId="39" xfId="0" applyNumberFormat="1" applyFont="1" applyFill="1" applyBorder="1" applyAlignment="1">
      <x:alignment vertical="center"/>
    </x:xf>
    <x:xf numFmtId="0" fontId="0" fillId="0" borderId="40" xfId="0" applyNumberFormat="1" applyFont="1" applyFill="1" applyBorder="1" applyAlignment="1">
      <x:alignment vertical="center"/>
    </x:xf>
    <x:xf numFmtId="0" fontId="0" fillId="0" borderId="4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42" xfId="0" applyNumberFormat="1" applyFont="1" applyFill="1" applyBorder="1" applyAlignment="1">
      <x:alignment vertical="center"/>
    </x:xf>
    <x:xf numFmtId="0" fontId="0" fillId="0" borderId="43" xfId="0" applyNumberFormat="1" applyFont="1" applyFill="1" applyBorder="1" applyAlignment="1">
      <x:alignment vertical="center"/>
    </x:xf>
    <x:xf numFmtId="0" fontId="0" fillId="0" borderId="44" xfId="0" applyNumberFormat="1" applyFont="1" applyFill="1" applyBorder="1" applyAlignment="1">
      <x:alignment vertical="center"/>
    </x:xf>
    <x:xf numFmtId="0" fontId="0" fillId="0" borderId="45" xfId="0" applyNumberFormat="1" applyFont="1" applyFill="1" applyBorder="1" applyAlignment="1">
      <x:alignment vertical="center"/>
    </x:xf>
    <x:xf numFmtId="0" fontId="0" fillId="0" borderId="3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36" xfId="0" applyNumberFormat="1" applyFont="1" applyFill="1" applyBorder="1" applyAlignment="1">
      <x:alignment vertical="center" wrapText="1"/>
    </x:xf>
    <x:xf numFmtId="0" fontId="0" fillId="0" borderId="3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44" xfId="0" applyNumberFormat="1" applyFont="1" applyFill="1" applyBorder="1" applyAlignment="1">
      <x:alignment vertical="center" wrapText="1"/>
    </x:xf>
    <x:xf numFmtId="0" fontId="0" fillId="5" borderId="3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5" borderId="36" xfId="0" applyNumberFormat="1" applyFont="1" applyFill="1" applyBorder="1" applyAlignment="1">
      <x:alignment vertical="center"/>
    </x:xf>
    <x:xf numFmtId="0" fontId="0" fillId="5" borderId="39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0" fontId="0" fillId="5" borderId="44" xfId="0" applyNumberFormat="1" applyFont="1" applyFill="1" applyBorder="1" applyAlignment="1">
      <x:alignment vertical="center"/>
    </x:xf>
    <x:xf numFmtId="0" fontId="0" fillId="6" borderId="3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/>
    </x:xf>
    <x:xf numFmtId="0" fontId="0" fillId="6" borderId="36" xfId="0" applyNumberFormat="1" applyFont="1" applyFill="1" applyBorder="1" applyAlignment="1">
      <x:alignment vertical="center"/>
    </x:xf>
    <x:xf numFmtId="0" fontId="0" fillId="6" borderId="39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vertical="center"/>
    </x:xf>
    <x:xf numFmtId="0" fontId="0" fillId="6" borderId="44" xfId="0" applyNumberFormat="1" applyFont="1" applyFill="1" applyBorder="1" applyAlignment="1">
      <x:alignment vertical="center"/>
    </x:xf>
    <x:xf numFmtId="0" fontId="0" fillId="7" borderId="31" xfId="0" applyNumberFormat="1" applyFont="1" applyFill="1" applyBorder="1" applyAlignment="1">
      <x:alignment vertical="center"/>
    </x:xf>
    <x:xf numFmtId="0" fontId="0" fillId="7" borderId="32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/>
    </x:xf>
    <x:xf numFmtId="0" fontId="0" fillId="7" borderId="34" xfId="0" applyNumberFormat="1" applyFont="1" applyFill="1" applyBorder="1" applyAlignment="1">
      <x:alignment vertical="center"/>
    </x:xf>
    <x:xf numFmtId="0" fontId="0" fillId="7" borderId="36" xfId="0" applyNumberFormat="1" applyFont="1" applyFill="1" applyBorder="1" applyAlignment="1">
      <x:alignment vertical="center"/>
    </x:xf>
    <x:xf numFmtId="0" fontId="0" fillId="7" borderId="37" xfId="0" applyNumberFormat="1" applyFont="1" applyFill="1" applyBorder="1" applyAlignment="1">
      <x:alignment vertical="center"/>
    </x:xf>
    <x:xf numFmtId="0" fontId="0" fillId="7" borderId="39" xfId="0" applyNumberFormat="1" applyFont="1" applyFill="1" applyBorder="1" applyAlignment="1">
      <x:alignment vertical="center"/>
    </x:xf>
    <x:xf numFmtId="0" fontId="0" fillId="7" borderId="4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 applyAlignment="1">
      <x:alignment vertical="center"/>
    </x:xf>
    <x:xf numFmtId="0" fontId="0" fillId="7" borderId="42" xfId="0" applyNumberFormat="1" applyFont="1" applyFill="1" applyBorder="1" applyAlignment="1">
      <x:alignment vertical="center"/>
    </x:xf>
    <x:xf numFmtId="0" fontId="0" fillId="7" borderId="44" xfId="0" applyNumberFormat="1" applyFont="1" applyFill="1" applyBorder="1" applyAlignment="1">
      <x:alignment vertical="center"/>
    </x:xf>
    <x:xf numFmtId="0" fontId="0" fillId="7" borderId="45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0" borderId="46" xfId="0" applyNumberFormat="1" applyFont="1" applyFill="1" applyBorder="1"/>
    <x:xf numFmtId="0" fontId="0" fillId="0" borderId="47" xfId="0" applyNumberFormat="1" applyFont="1" applyFill="1" applyBorder="1"/>
    <x:xf numFmtId="0" fontId="0" fillId="0" borderId="48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49" xfId="0" applyNumberFormat="1" applyFont="1" applyFill="1" applyBorder="1" applyAlignment="1">
      <x:alignment horizontal="center"/>
    </x:xf>
    <x:xf numFmtId="0" fontId="1" fillId="9" borderId="50" xfId="0" applyNumberFormat="1" applyFont="1" applyFill="1" applyBorder="1" applyAlignment="1">
      <x:alignment horizontal="center"/>
    </x:xf>
    <x:xf numFmtId="0" fontId="3" fillId="0" borderId="51" xfId="0" applyNumberFormat="1" applyFont="1" applyFill="1" applyBorder="1"/>
    <x:xf numFmtId="0" fontId="0" fillId="0" borderId="52" xfId="0" applyNumberFormat="1" applyFont="1" applyFill="1" applyBorder="1"/>
    <x:xf numFmtId="0" fontId="3" fillId="0" borderId="53" xfId="0" applyNumberFormat="1" applyFont="1" applyFill="1" applyBorder="1"/>
    <x:xf numFmtId="0" fontId="0" fillId="0" borderId="54" xfId="0" applyNumberFormat="1" applyFont="1" applyFill="1" applyBorder="1"/>
    <x:xf numFmtId="200" fontId="0" fillId="0" borderId="52" xfId="0" applyNumberFormat="1" applyFont="1" applyFill="1" applyBorder="1"/>
    <x:xf numFmtId="0" fontId="0" fillId="10" borderId="54" xfId="0" applyNumberFormat="1" applyFont="1" applyFill="1" applyBorder="1"/>
    <x:xf numFmtId="0" fontId="5" fillId="10" borderId="54" xfId="0" applyNumberFormat="1" applyFont="1" applyFill="1" applyBorder="1"/>
    <x:xf numFmtId="0" fontId="5" fillId="10" borderId="54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wrapText="1"/>
    </x:xf>
    <x:xf numFmtId="0" fontId="1" fillId="9" borderId="55" xfId="0" applyNumberFormat="1" applyFont="1" applyFill="1" applyBorder="1" applyAlignment="1">
      <x:alignment wrapText="1"/>
    </x:xf>
    <x:xf numFmtId="0" fontId="1" fillId="9" borderId="56" xfId="0" applyNumberFormat="1" applyFont="1" applyFill="1" applyBorder="1" applyAlignment="1">
      <x:alignment wrapText="1"/>
    </x:xf>
    <x:xf numFmtId="0" fontId="0" fillId="0" borderId="57" xfId="0" applyNumberFormat="1" applyFont="1" applyFill="1" applyBorder="1" applyAlignment="1">
      <x:alignment wrapText="1"/>
    </x:xf>
    <x:xf numFmtId="0" fontId="0" fillId="0" borderId="58" xfId="0" applyNumberFormat="1" applyFont="1" applyFill="1" applyBorder="1" applyAlignment="1">
      <x:alignment wrapText="1"/>
    </x:xf>
    <x:xf numFmtId="0" fontId="0" fillId="0" borderId="59" xfId="0" applyNumberFormat="1" applyFont="1" applyFill="1" applyBorder="1" applyAlignment="1">
      <x:alignment wrapText="1"/>
    </x:xf>
    <x:xf numFmtId="0" fontId="0" fillId="0" borderId="6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D9EAF7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67d4051a1e4e7b" /><Relationship Type="http://schemas.openxmlformats.org/officeDocument/2006/relationships/theme" Target="/xl/theme/theme1.xml" Id="R28909b89abb8485e" /><Relationship Type="http://schemas.openxmlformats.org/officeDocument/2006/relationships/sharedStrings" Target="/xl/sharedStrings.xml" Id="R2881a93760014780" /><Relationship Type="http://schemas.openxmlformats.org/officeDocument/2006/relationships/worksheet" Target="/xl/worksheets/sheet1.xml" Id="Rd511b06227b3475a" /><Relationship Type="http://schemas.openxmlformats.org/officeDocument/2006/relationships/worksheet" Target="/xl/worksheets/sheet2.xml" Id="Rcc141e0e025341a1" /><Relationship Type="http://schemas.openxmlformats.org/officeDocument/2006/relationships/worksheet" Target="/xl/worksheets/sheet3.xml" Id="Re577c37d646749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14" hidden="0" customWidth="1"/>
    <x:col min="4" max="4" width="34" hidden="0" customWidth="1"/>
    <x:col min="5" max="5" width="16" hidden="0" customWidth="1"/>
    <x:col min="6" max="6" width="9" hidden="0" customWidth="1"/>
    <x:col min="7" max="7" width="27" hidden="0" customWidth="1"/>
    <x:col min="8" max="8" width="19" hidden="0" customWidth="1"/>
    <x:col min="9" max="9" width="13" hidden="0" customWidth="1"/>
    <x:col min="10" max="10" width="17" hidden="0" customWidth="1"/>
    <x:col min="11" max="11" width="14" hidden="0" customWidth="1"/>
    <x:col min="12" max="12" width="12" hidden="0" customWidth="1"/>
    <x:col min="13" max="13" width="17" hidden="0" customWidth="1"/>
    <x:col min="14" max="14" width="17" hidden="0" customWidth="1"/>
    <x:col min="15" max="15" width="19" hidden="0" customWidth="1"/>
    <x:col min="16" max="16" width="17" hidden="0" customWidth="1"/>
    <x:col min="17" max="17" width="13" hidden="0" customWidth="1"/>
  </x:cols>
  <x:sheetData>
    <x:row r="1" ht="30" customHeight="1">
      <x:c r="A1" s="29" t="str">
        <x:v>Bachelor of Engineering (Honours) GPA &amp; eGPA Calculator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</x:row>
    <x:row r="3">
      <x:c r="A3" s="41" t="str">
        <x:v>Summary</x:v>
      </x:c>
      <x:c r="B3" s="42" t="str">
        <x:v>Result</x:v>
      </x:c>
      <x:c r="D3" s="41" t="str">
        <x:v>Honours bands</x:v>
      </x:c>
      <x:c r="E3" s="42" t="str">
        <x:v>eGPA</x:v>
      </x:c>
      <x:c r="G3" s="165" t="str">
        <x:v>First Class planning</x:v>
      </x:c>
      <x:c r="H3" s="166" t="str">
        <x:v>Result</x:v>
      </x:c>
    </x:row>
    <x:row r="4">
      <x:c r="A4" s="43" t="str">
        <x:v>Standard GPA</x:v>
      </x:c>
      <x:c r="B4" s="63" t="n">
        <x:f>IFERROR(SUM(M11:M43)/SUM(N11:N43),0)</x:f>
        <x:v>5.8125</x:v>
      </x:c>
      <x:c r="D4" s="43" t="str">
        <x:v>First Class</x:v>
      </x:c>
      <x:c r="E4" s="44" t="str">
        <x:v>6.50–9.00</x:v>
      </x:c>
      <x:c r="G4" s="167" t="str">
        <x:v>Target eGPA</x:v>
      </x:c>
      <x:c r="H4" s="171" t="n">
        <x:v>6.5</x:v>
      </x:c>
    </x:row>
    <x:row r="5">
      <x:c r="A5" s="43" t="str">
        <x:v>Honours eGPA</x:v>
      </x:c>
      <x:c r="B5" s="63" t="n">
        <x:f>IFERROR(SUM(O11:O43)/SUM(P11:P43)*9,0)</x:f>
        <x:v>4.5</x:v>
      </x:c>
      <x:c r="D5" s="43" t="str">
        <x:v>Second Class, First Division</x:v>
      </x:c>
      <x:c r="E5" s="44" t="str">
        <x:v>5.50–6.49</x:v>
      </x:c>
      <x:c r="G5" s="167" t="str">
        <x:v>Current weighted score</x:v>
      </x:c>
      <x:c r="H5" s="171" t="n">
        <x:f>SUM(O11:O43)</x:f>
        <x:v>45</x:v>
      </x:c>
    </x:row>
    <x:row r="6">
      <x:c r="A6" s="43" t="str">
        <x:v>Honours Class</x:v>
      </x:c>
      <x:c r="B6" s="44" t="str">
        <x:f>IF(B5&gt;=6.5,"First Class",IF(B5&gt;=5.5,"Second Class, First Division",IF(B5&gt;=4,"Second Class, Second Division",IF(B5&gt;=0.5,"Third Class","Below honours threshold"))))</x:f>
        <x:v>Second Class, Second Division</x:v>
      </x:c>
      <x:c r="D6" s="43" t="str">
        <x:v>Second Class, Second Division</x:v>
      </x:c>
      <x:c r="E6" s="44" t="str">
        <x:v>4.00–5.49</x:v>
      </x:c>
      <x:c r="G6" s="167" t="str">
        <x:v>Remaining weighted units</x:v>
      </x:c>
      <x:c r="H6" s="171" t="n">
        <x:f>SUMPRODUCT((G11:G43="")*(K11:K43="Yes")*(L11:L43&gt;0)*L11:L43)</x:f>
        <x:v>41</x:v>
      </x:c>
    </x:row>
    <x:row r="7">
      <x:c r="A7" s="45" t="str">
        <x:v>Graded courses</x:v>
      </x:c>
      <x:c r="B7" s="46" t="n">
        <x:f>COUNT(H11:H43)</x:f>
        <x:v>16</x:v>
      </x:c>
      <x:c r="D7" s="45" t="str">
        <x:v>Third Class</x:v>
      </x:c>
      <x:c r="E7" s="46" t="str">
        <x:v>0.50–3.99</x:v>
      </x:c>
      <x:c r="G7" s="167" t="str">
        <x:v>Required average GP</x:v>
      </x:c>
      <x:c r="H7" s="171" t="n">
        <x:f>IF(H6=0,0,MAX(0,(H4*SUMPRODUCT((K11:K43="Yes")*(L11:L43&gt;0)*L11:L43)-H5)/H6))</x:f>
        <x:v>6.987804878048781</x:v>
      </x:c>
    </x:row>
    <x:row r="8">
      <x:c r="G8" s="169" t="str">
        <x:v>No grades below</x:v>
      </x:c>
      <x:c r="H8" s="174" t="str">
        <x:f>IF(H7&gt;9,"Not mathematically possible",IF(H7&lt;=0,"Any passing grade",INDEX('Grade Scale'!$A$2:$A$10,MATCH(CEILING(H7,1),'Grade Scale'!$B$2:$B$10,0))))</x:f>
        <x:v>A-</x:v>
      </x:c>
    </x:row>
    <x:row r="10" ht="35" customHeight="1">
      <x:c r="A10" s="57" t="str">
        <x:v>Year</x:v>
      </x:c>
      <x:c r="B10" s="57" t="str">
        <x:v>Semester</x:v>
      </x:c>
      <x:c r="C10" s="57" t="str">
        <x:v>Course Code</x:v>
      </x:c>
      <x:c r="D10" s="57" t="str">
        <x:v>Course</x:v>
      </x:c>
      <x:c r="E10" s="57" t="str">
        <x:v>Level</x:v>
      </x:c>
      <x:c r="F10" s="57" t="str">
        <x:v>Points</x:v>
      </x:c>
      <x:c r="G10" s="57" t="str">
        <x:v>Grade</x:v>
      </x:c>
      <x:c r="H10" s="57" t="str">
        <x:v>Grade Point</x:v>
      </x:c>
      <x:c r="I10" s="57" t="str">
        <x:v>GPA Include?</x:v>
      </x:c>
      <x:c r="J10" s="57" t="str">
        <x:v>Course Type</x:v>
      </x:c>
      <x:c r="K10" s="57" t="str">
        <x:v>eGPA Include?</x:v>
      </x:c>
      <x:c r="L10" s="57" t="str">
        <x:v>Level Weight</x:v>
      </x:c>
      <x:c r="M10" s="57" t="str">
        <x:v>GPA Quality Points</x:v>
      </x:c>
      <x:c r="N10" s="57" t="str">
        <x:v>GPA Points Counted</x:v>
      </x:c>
      <x:c r="O10" s="57" t="str">
        <x:v>eGPA Weighted Score</x:v>
      </x:c>
      <x:c r="P10" s="57" t="str">
        <x:v>eGPA Maximum</x:v>
      </x:c>
      <x:c r="Q10" s="158" t="str">
        <x:v>Status</x:v>
      </x:c>
    </x:row>
    <x:row r="11">
      <x:c r="A11" s="81" t="n">
        <x:v>1</x:v>
      </x:c>
      <x:c r="B11" s="82" t="str">
        <x:v>2024-S2</x:v>
      </x:c>
      <x:c r="C11" s="82" t="str">
        <x:v>ENGE500</x:v>
      </x:c>
      <x:c r="D11" s="99" t="str">
        <x:v>Introduction to Sustainable Engineering Design</x:v>
      </x:c>
      <x:c r="E11" s="82" t="n">
        <x:v>5</x:v>
      </x:c>
      <x:c r="F11" s="82" t="n">
        <x:v>15</x:v>
      </x:c>
      <x:c r="G11" s="105" t="str">
        <x:v>A+</x:v>
      </x:c>
      <x:c r="H11" s="111" t="n">
        <x:f>IF(G11="","",IFERROR(VLOOKUP(G11,'Grade Scale'!$A$2:$B$16,2,FALSE),""))</x:f>
        <x:v>9</x:v>
      </x:c>
      <x:c r="I11" s="105" t="str">
        <x:v>Yes</x:v>
      </x:c>
      <x:c r="J11" s="105" t="str">
        <x:v>Core</x:v>
      </x:c>
      <x:c r="K11" s="105" t="str">
        <x:v>No</x:v>
      </x:c>
      <x:c r="L11" s="117" t="n">
        <x:f>IF(E11=6,1,IF(E11=7,2,IF(E11=8,3,0)))</x:f>
        <x:v>0</x:v>
      </x:c>
      <x:c r="M11" s="117" t="n">
        <x:f>IF(OR(G11="",I11&lt;&gt;"Yes",IFERROR(VLOOKUP(G11,'Grade Scale'!$A$2:$C$16,3,FALSE),"No")&lt;&gt;"Yes"),0,H11*F11)</x:f>
        <x:v>135</x:v>
      </x:c>
      <x:c r="N11" s="117" t="n">
        <x:f>IF(OR(G11="",I11&lt;&gt;"Yes",IFERROR(VLOOKUP(G11,'Grade Scale'!$A$2:$C$16,3,FALSE),"No")&lt;&gt;"Yes"),0,F11)</x:f>
        <x:v>15</x:v>
      </x:c>
      <x:c r="O11" s="117" t="n">
        <x:f>IF(OR(G11="",K11&lt;&gt;"Yes",L11=0,IFERROR(VLOOKUP(G11,'Grade Scale'!$A$2:$C$16,3,FALSE),"No")&lt;&gt;"Yes"),0,H11*L11)</x:f>
        <x:v>0</x:v>
      </x:c>
      <x:c r="P11" s="118" t="n">
        <x:f>IF(OR(G11="",K11&lt;&gt;"Yes",L11=0,IFERROR(VLOOKUP(G11,'Grade Scale'!$A$2:$C$16,3,FALSE),"No")&lt;&gt;"Yes"),0,9*L11)</x:f>
        <x:v>0</x:v>
      </x:c>
      <x:c r="Q11" s="159" t="str">
        <x:v>Completed</x:v>
      </x:c>
    </x:row>
    <x:row r="12">
      <x:c r="A12" s="84" t="n">
        <x:v>1</x:v>
      </x:c>
      <x:c r="B12" s="85" t="str">
        <x:v>2024-S2</x:v>
      </x:c>
      <x:c r="C12" s="85" t="str">
        <x:v>ENGE501</x:v>
      </x:c>
      <x:c r="D12" s="100" t="str">
        <x:v>Engineering Mathematics I</x:v>
      </x:c>
      <x:c r="E12" s="85" t="n">
        <x:v>5</x:v>
      </x:c>
      <x:c r="F12" s="85" t="n">
        <x:v>15</x:v>
      </x:c>
      <x:c r="G12" s="106" t="str">
        <x:v>B</x:v>
      </x:c>
      <x:c r="H12" s="112" t="n">
        <x:f>IF(G12="","",IFERROR(VLOOKUP(G12,'Grade Scale'!$A$2:$B$16,2,FALSE),""))</x:f>
        <x:v>5</x:v>
      </x:c>
      <x:c r="I12" s="106" t="str">
        <x:v>Yes</x:v>
      </x:c>
      <x:c r="J12" s="106" t="str">
        <x:v>Core</x:v>
      </x:c>
      <x:c r="K12" s="106" t="str">
        <x:v>No</x:v>
      </x:c>
      <x:c r="L12" s="119" t="n">
        <x:f>IF(E12=6,1,IF(E12=7,2,IF(E12=8,3,0)))</x:f>
        <x:v>0</x:v>
      </x:c>
      <x:c r="M12" s="119" t="n">
        <x:f>IF(OR(G12="",I12&lt;&gt;"Yes",IFERROR(VLOOKUP(G12,'Grade Scale'!$A$2:$C$16,3,FALSE),"No")&lt;&gt;"Yes"),0,H12*F12)</x:f>
        <x:v>75</x:v>
      </x:c>
      <x:c r="N12" s="119" t="n">
        <x:f>IF(OR(G12="",I12&lt;&gt;"Yes",IFERROR(VLOOKUP(G12,'Grade Scale'!$A$2:$C$16,3,FALSE),"No")&lt;&gt;"Yes"),0,F12)</x:f>
        <x:v>15</x:v>
      </x:c>
      <x:c r="O12" s="119" t="n">
        <x:f>IF(OR(G12="",K12&lt;&gt;"Yes",L12=0,IFERROR(VLOOKUP(G12,'Grade Scale'!$A$2:$C$16,3,FALSE),"No")&lt;&gt;"Yes"),0,H12*L12)</x:f>
        <x:v>0</x:v>
      </x:c>
      <x:c r="P12" s="120" t="n">
        <x:f>IF(OR(G12="",K12&lt;&gt;"Yes",L12=0,IFERROR(VLOOKUP(G12,'Grade Scale'!$A$2:$C$16,3,FALSE),"No")&lt;&gt;"Yes"),0,9*L12)</x:f>
        <x:v>0</x:v>
      </x:c>
      <x:c r="Q12" s="160" t="str">
        <x:v>Completed</x:v>
      </x:c>
    </x:row>
    <x:row r="13">
      <x:c r="A13" s="84" t="n">
        <x:v>1</x:v>
      </x:c>
      <x:c r="B13" s="85" t="str">
        <x:v>2025-S1</x:v>
      </x:c>
      <x:c r="C13" s="85" t="str">
        <x:v>ENGE503</x:v>
      </x:c>
      <x:c r="D13" s="100" t="str">
        <x:v>Engineering Mechanics</x:v>
      </x:c>
      <x:c r="E13" s="85" t="n">
        <x:v>5</x:v>
      </x:c>
      <x:c r="F13" s="85" t="n">
        <x:v>15</x:v>
      </x:c>
      <x:c r="G13" s="106" t="str">
        <x:v>A-</x:v>
      </x:c>
      <x:c r="H13" s="112" t="n">
        <x:f>IF(G13="","",IFERROR(VLOOKUP(G13,'Grade Scale'!$A$2:$B$16,2,FALSE),""))</x:f>
        <x:v>7</x:v>
      </x:c>
      <x:c r="I13" s="106" t="str">
        <x:v>Yes</x:v>
      </x:c>
      <x:c r="J13" s="106" t="str">
        <x:v>Core</x:v>
      </x:c>
      <x:c r="K13" s="106" t="str">
        <x:v>No</x:v>
      </x:c>
      <x:c r="L13" s="119" t="n">
        <x:f>IF(E13=6,1,IF(E13=7,2,IF(E13=8,3,0)))</x:f>
        <x:v>0</x:v>
      </x:c>
      <x:c r="M13" s="119" t="n">
        <x:f>IF(OR(G13="",I13&lt;&gt;"Yes",IFERROR(VLOOKUP(G13,'Grade Scale'!$A$2:$C$16,3,FALSE),"No")&lt;&gt;"Yes"),0,H13*F13)</x:f>
        <x:v>105</x:v>
      </x:c>
      <x:c r="N13" s="119" t="n">
        <x:f>IF(OR(G13="",I13&lt;&gt;"Yes",IFERROR(VLOOKUP(G13,'Grade Scale'!$A$2:$C$16,3,FALSE),"No")&lt;&gt;"Yes"),0,F13)</x:f>
        <x:v>15</x:v>
      </x:c>
      <x:c r="O13" s="119" t="n">
        <x:f>IF(OR(G13="",K13&lt;&gt;"Yes",L13=0,IFERROR(VLOOKUP(G13,'Grade Scale'!$A$2:$C$16,3,FALSE),"No")&lt;&gt;"Yes"),0,H13*L13)</x:f>
        <x:v>0</x:v>
      </x:c>
      <x:c r="P13" s="120" t="n">
        <x:f>IF(OR(G13="",K13&lt;&gt;"Yes",L13=0,IFERROR(VLOOKUP(G13,'Grade Scale'!$A$2:$C$16,3,FALSE),"No")&lt;&gt;"Yes"),0,9*L13)</x:f>
        <x:v>0</x:v>
      </x:c>
      <x:c r="Q13" s="160" t="str">
        <x:v>Completed</x:v>
      </x:c>
    </x:row>
    <x:row r="14">
      <x:c r="A14" s="84" t="n">
        <x:v>1</x:v>
      </x:c>
      <x:c r="B14" s="85" t="str">
        <x:v>2024-S2</x:v>
      </x:c>
      <x:c r="C14" s="85" t="str">
        <x:v>ENGE504</x:v>
      </x:c>
      <x:c r="D14" s="100" t="str">
        <x:v>Electrical Engineering Fundamentals</x:v>
      </x:c>
      <x:c r="E14" s="85" t="n">
        <x:v>5</x:v>
      </x:c>
      <x:c r="F14" s="85" t="n">
        <x:v>15</x:v>
      </x:c>
      <x:c r="G14" s="106" t="str">
        <x:v>B+</x:v>
      </x:c>
      <x:c r="H14" s="112" t="n">
        <x:f>IF(G14="","",IFERROR(VLOOKUP(G14,'Grade Scale'!$A$2:$B$16,2,FALSE),""))</x:f>
        <x:v>6</x:v>
      </x:c>
      <x:c r="I14" s="106" t="str">
        <x:v>Yes</x:v>
      </x:c>
      <x:c r="J14" s="106" t="str">
        <x:v>Core</x:v>
      </x:c>
      <x:c r="K14" s="106" t="str">
        <x:v>No</x:v>
      </x:c>
      <x:c r="L14" s="119" t="n">
        <x:f>IF(E14=6,1,IF(E14=7,2,IF(E14=8,3,0)))</x:f>
        <x:v>0</x:v>
      </x:c>
      <x:c r="M14" s="119" t="n">
        <x:f>IF(OR(G14="",I14&lt;&gt;"Yes",IFERROR(VLOOKUP(G14,'Grade Scale'!$A$2:$C$16,3,FALSE),"No")&lt;&gt;"Yes"),0,H14*F14)</x:f>
        <x:v>90</x:v>
      </x:c>
      <x:c r="N14" s="119" t="n">
        <x:f>IF(OR(G14="",I14&lt;&gt;"Yes",IFERROR(VLOOKUP(G14,'Grade Scale'!$A$2:$C$16,3,FALSE),"No")&lt;&gt;"Yes"),0,F14)</x:f>
        <x:v>15</x:v>
      </x:c>
      <x:c r="O14" s="119" t="n">
        <x:f>IF(OR(G14="",K14&lt;&gt;"Yes",L14=0,IFERROR(VLOOKUP(G14,'Grade Scale'!$A$2:$C$16,3,FALSE),"No")&lt;&gt;"Yes"),0,H14*L14)</x:f>
        <x:v>0</x:v>
      </x:c>
      <x:c r="P14" s="120" t="n">
        <x:f>IF(OR(G14="",K14&lt;&gt;"Yes",L14=0,IFERROR(VLOOKUP(G14,'Grade Scale'!$A$2:$C$16,3,FALSE),"No")&lt;&gt;"Yes"),0,9*L14)</x:f>
        <x:v>0</x:v>
      </x:c>
      <x:c r="Q14" s="160" t="str">
        <x:v>Completed</x:v>
      </x:c>
    </x:row>
    <x:row r="15">
      <x:c r="A15" s="84" t="n">
        <x:v>1</x:v>
      </x:c>
      <x:c r="B15" s="85" t="str">
        <x:v>2024-S2</x:v>
      </x:c>
      <x:c r="C15" s="85" t="str">
        <x:v>COMP500</x:v>
      </x:c>
      <x:c r="D15" s="100" t="str">
        <x:v>Programming Concepts and Techniques</x:v>
      </x:c>
      <x:c r="E15" s="85" t="n">
        <x:v>5</x:v>
      </x:c>
      <x:c r="F15" s="85" t="n">
        <x:v>15</x:v>
      </x:c>
      <x:c r="G15" s="106" t="str">
        <x:v>A+</x:v>
      </x:c>
      <x:c r="H15" s="112" t="n">
        <x:f>IF(G15="","",IFERROR(VLOOKUP(G15,'Grade Scale'!$A$2:$B$16,2,FALSE),""))</x:f>
        <x:v>9</x:v>
      </x:c>
      <x:c r="I15" s="106" t="str">
        <x:v>Yes</x:v>
      </x:c>
      <x:c r="J15" s="106" t="str">
        <x:v>Core</x:v>
      </x:c>
      <x:c r="K15" s="106" t="str">
        <x:v>No</x:v>
      </x:c>
      <x:c r="L15" s="119" t="n">
        <x:f>IF(E15=6,1,IF(E15=7,2,IF(E15=8,3,0)))</x:f>
        <x:v>0</x:v>
      </x:c>
      <x:c r="M15" s="119" t="n">
        <x:f>IF(OR(G15="",I15&lt;&gt;"Yes",IFERROR(VLOOKUP(G15,'Grade Scale'!$A$2:$C$16,3,FALSE),"No")&lt;&gt;"Yes"),0,H15*F15)</x:f>
        <x:v>135</x:v>
      </x:c>
      <x:c r="N15" s="119" t="n">
        <x:f>IF(OR(G15="",I15&lt;&gt;"Yes",IFERROR(VLOOKUP(G15,'Grade Scale'!$A$2:$C$16,3,FALSE),"No")&lt;&gt;"Yes"),0,F15)</x:f>
        <x:v>15</x:v>
      </x:c>
      <x:c r="O15" s="119" t="n">
        <x:f>IF(OR(G15="",K15&lt;&gt;"Yes",L15=0,IFERROR(VLOOKUP(G15,'Grade Scale'!$A$2:$C$16,3,FALSE),"No")&lt;&gt;"Yes"),0,H15*L15)</x:f>
        <x:v>0</x:v>
      </x:c>
      <x:c r="P15" s="120" t="n">
        <x:f>IF(OR(G15="",K15&lt;&gt;"Yes",L15=0,IFERROR(VLOOKUP(G15,'Grade Scale'!$A$2:$C$16,3,FALSE),"No")&lt;&gt;"Yes"),0,9*L15)</x:f>
        <x:v>0</x:v>
      </x:c>
      <x:c r="Q15" s="160" t="str">
        <x:v>Completed</x:v>
      </x:c>
    </x:row>
    <x:row r="16">
      <x:c r="A16" s="84" t="n">
        <x:v>1</x:v>
      </x:c>
      <x:c r="B16" s="85" t="str">
        <x:v>2025-S1</x:v>
      </x:c>
      <x:c r="C16" s="85" t="str">
        <x:v>DIGD507</x:v>
      </x:c>
      <x:c r="D16" s="100" t="str">
        <x:v>Mahitahi | Collaborative Practices</x:v>
      </x:c>
      <x:c r="E16" s="85" t="n">
        <x:v>5</x:v>
      </x:c>
      <x:c r="F16" s="85" t="n">
        <x:v>15</x:v>
      </x:c>
      <x:c r="G16" s="106" t="str">
        <x:v>A+</x:v>
      </x:c>
      <x:c r="H16" s="112" t="n">
        <x:f>IF(G16="","",IFERROR(VLOOKUP(G16,'Grade Scale'!$A$2:$B$16,2,FALSE),""))</x:f>
        <x:v>9</x:v>
      </x:c>
      <x:c r="I16" s="106" t="str">
        <x:v>Yes</x:v>
      </x:c>
      <x:c r="J16" s="106" t="str">
        <x:v>Core</x:v>
      </x:c>
      <x:c r="K16" s="106" t="str">
        <x:v>No</x:v>
      </x:c>
      <x:c r="L16" s="119" t="n">
        <x:f>IF(E16=6,1,IF(E16=7,2,IF(E16=8,3,0)))</x:f>
        <x:v>0</x:v>
      </x:c>
      <x:c r="M16" s="119" t="n">
        <x:f>IF(OR(G16="",I16&lt;&gt;"Yes",IFERROR(VLOOKUP(G16,'Grade Scale'!$A$2:$C$16,3,FALSE),"No")&lt;&gt;"Yes"),0,H16*F16)</x:f>
        <x:v>135</x:v>
      </x:c>
      <x:c r="N16" s="119" t="n">
        <x:f>IF(OR(G16="",I16&lt;&gt;"Yes",IFERROR(VLOOKUP(G16,'Grade Scale'!$A$2:$C$16,3,FALSE),"No")&lt;&gt;"Yes"),0,F16)</x:f>
        <x:v>15</x:v>
      </x:c>
      <x:c r="O16" s="119" t="n">
        <x:f>IF(OR(G16="",K16&lt;&gt;"Yes",L16=0,IFERROR(VLOOKUP(G16,'Grade Scale'!$A$2:$C$16,3,FALSE),"No")&lt;&gt;"Yes"),0,H16*L16)</x:f>
        <x:v>0</x:v>
      </x:c>
      <x:c r="P16" s="120" t="n">
        <x:f>IF(OR(G16="",K16&lt;&gt;"Yes",L16=0,IFERROR(VLOOKUP(G16,'Grade Scale'!$A$2:$C$16,3,FALSE),"No")&lt;&gt;"Yes"),0,9*L16)</x:f>
        <x:v>0</x:v>
      </x:c>
      <x:c r="Q16" s="160" t="str">
        <x:v>Completed</x:v>
      </x:c>
    </x:row>
    <x:row r="17">
      <x:c r="A17" s="84" t="n">
        <x:v>1</x:v>
      </x:c>
      <x:c r="B17" s="85" t="str">
        <x:v>2024-S2</x:v>
      </x:c>
      <x:c r="C17" s="85" t="str">
        <x:v>ENME502</x:v>
      </x:c>
      <x:c r="D17" s="100" t="str">
        <x:v>Engineering Materials I</x:v>
      </x:c>
      <x:c r="E17" s="85" t="n">
        <x:v>5</x:v>
      </x:c>
      <x:c r="F17" s="85" t="n">
        <x:v>15</x:v>
      </x:c>
      <x:c r="G17" s="106" t="str">
        <x:v>B+</x:v>
      </x:c>
      <x:c r="H17" s="112" t="n">
        <x:f>IF(G17="","",IFERROR(VLOOKUP(G17,'Grade Scale'!$A$2:$B$16,2,FALSE),""))</x:f>
        <x:v>6</x:v>
      </x:c>
      <x:c r="I17" s="106" t="str">
        <x:v>Yes</x:v>
      </x:c>
      <x:c r="J17" s="106" t="str">
        <x:v>Core</x:v>
      </x:c>
      <x:c r="K17" s="106" t="str">
        <x:v>No</x:v>
      </x:c>
      <x:c r="L17" s="119" t="n">
        <x:f>IF(E17=6,1,IF(E17=7,2,IF(E17=8,3,0)))</x:f>
        <x:v>0</x:v>
      </x:c>
      <x:c r="M17" s="119" t="n">
        <x:f>IF(OR(G17="",I17&lt;&gt;"Yes",IFERROR(VLOOKUP(G17,'Grade Scale'!$A$2:$C$16,3,FALSE),"No")&lt;&gt;"Yes"),0,H17*F17)</x:f>
        <x:v>90</x:v>
      </x:c>
      <x:c r="N17" s="119" t="n">
        <x:f>IF(OR(G17="",I17&lt;&gt;"Yes",IFERROR(VLOOKUP(G17,'Grade Scale'!$A$2:$C$16,3,FALSE),"No")&lt;&gt;"Yes"),0,F17)</x:f>
        <x:v>15</x:v>
      </x:c>
      <x:c r="O17" s="119" t="n">
        <x:f>IF(OR(G17="",K17&lt;&gt;"Yes",L17=0,IFERROR(VLOOKUP(G17,'Grade Scale'!$A$2:$C$16,3,FALSE),"No")&lt;&gt;"Yes"),0,H17*L17)</x:f>
        <x:v>0</x:v>
      </x:c>
      <x:c r="P17" s="120" t="n">
        <x:f>IF(OR(G17="",K17&lt;&gt;"Yes",L17=0,IFERROR(VLOOKUP(G17,'Grade Scale'!$A$2:$C$16,3,FALSE),"No")&lt;&gt;"Yes"),0,9*L17)</x:f>
        <x:v>0</x:v>
      </x:c>
      <x:c r="Q17" s="160" t="str">
        <x:v>Completed</x:v>
      </x:c>
    </x:row>
    <x:row r="18">
      <x:c r="A18" s="84" t="n">
        <x:v>1</x:v>
      </x:c>
      <x:c r="B18" s="85" t="str">
        <x:v>2025-S1</x:v>
      </x:c>
      <x:c r="C18" s="85" t="str">
        <x:v>ENGE601</x:v>
      </x:c>
      <x:c r="D18" s="100" t="str">
        <x:v>Engineering Mathematics II</x:v>
      </x:c>
      <x:c r="E18" s="85" t="n">
        <x:v>6</x:v>
      </x:c>
      <x:c r="F18" s="85" t="n">
        <x:v>15</x:v>
      </x:c>
      <x:c r="G18" s="106" t="str">
        <x:v>B+</x:v>
      </x:c>
      <x:c r="H18" s="112" t="n">
        <x:f>IF(G18="","",IFERROR(VLOOKUP(G18,'Grade Scale'!$A$2:$B$16,2,FALSE),""))</x:f>
        <x:v>6</x:v>
      </x:c>
      <x:c r="I18" s="106" t="str">
        <x:v>Yes</x:v>
      </x:c>
      <x:c r="J18" s="106" t="str">
        <x:v>Core</x:v>
      </x:c>
      <x:c r="K18" s="106" t="str">
        <x:v>Yes</x:v>
      </x:c>
      <x:c r="L18" s="119" t="n">
        <x:f>IF(E18=6,1,IF(E18=7,2,IF(E18=8,3,0)))</x:f>
        <x:v>1</x:v>
      </x:c>
      <x:c r="M18" s="119" t="n">
        <x:f>IF(OR(G18="",I18&lt;&gt;"Yes",IFERROR(VLOOKUP(G18,'Grade Scale'!$A$2:$C$16,3,FALSE),"No")&lt;&gt;"Yes"),0,H18*F18)</x:f>
        <x:v>90</x:v>
      </x:c>
      <x:c r="N18" s="119" t="n">
        <x:f>IF(OR(G18="",I18&lt;&gt;"Yes",IFERROR(VLOOKUP(G18,'Grade Scale'!$A$2:$C$16,3,FALSE),"No")&lt;&gt;"Yes"),0,F18)</x:f>
        <x:v>15</x:v>
      </x:c>
      <x:c r="O18" s="119" t="n">
        <x:f>IF(OR(G18="",K18&lt;&gt;"Yes",L18=0,IFERROR(VLOOKUP(G18,'Grade Scale'!$A$2:$C$16,3,FALSE),"No")&lt;&gt;"Yes"),0,H18*L18)</x:f>
        <x:v>6</x:v>
      </x:c>
      <x:c r="P18" s="120" t="n">
        <x:f>IF(OR(G18="",K18&lt;&gt;"Yes",L18=0,IFERROR(VLOOKUP(G18,'Grade Scale'!$A$2:$C$16,3,FALSE),"No")&lt;&gt;"Yes"),0,9*L18)</x:f>
        <x:v>9</x:v>
      </x:c>
      <x:c r="Q18" s="160" t="str">
        <x:v>Completed</x:v>
      </x:c>
    </x:row>
    <x:row r="19">
      <x:c r="A19" s="84" t="n">
        <x:v>2</x:v>
      </x:c>
      <x:c r="B19" s="85" t="str">
        <x:v>2025-S1</x:v>
      </x:c>
      <x:c r="C19" s="85" t="str">
        <x:v>ENEL608</x:v>
      </x:c>
      <x:c r="D19" s="100" t="str">
        <x:v>Introduction to Microcontrollers</x:v>
      </x:c>
      <x:c r="E19" s="85" t="n">
        <x:v>6</x:v>
      </x:c>
      <x:c r="F19" s="85" t="n">
        <x:v>15</x:v>
      </x:c>
      <x:c r="G19" s="106" t="str">
        <x:v>A-</x:v>
      </x:c>
      <x:c r="H19" s="112" t="n">
        <x:f>IF(G19="","",IFERROR(VLOOKUP(G19,'Grade Scale'!$A$2:$B$16,2,FALSE),""))</x:f>
        <x:v>7</x:v>
      </x:c>
      <x:c r="I19" s="106" t="str">
        <x:v>Yes</x:v>
      </x:c>
      <x:c r="J19" s="106" t="str">
        <x:v>Core</x:v>
      </x:c>
      <x:c r="K19" s="106" t="str">
        <x:v>Yes</x:v>
      </x:c>
      <x:c r="L19" s="119" t="n">
        <x:f>IF(E19=6,1,IF(E19=7,2,IF(E19=8,3,0)))</x:f>
        <x:v>1</x:v>
      </x:c>
      <x:c r="M19" s="119" t="n">
        <x:f>IF(OR(G19="",I19&lt;&gt;"Yes",IFERROR(VLOOKUP(G19,'Grade Scale'!$A$2:$C$16,3,FALSE),"No")&lt;&gt;"Yes"),0,H19*F19)</x:f>
        <x:v>105</x:v>
      </x:c>
      <x:c r="N19" s="119" t="n">
        <x:f>IF(OR(G19="",I19&lt;&gt;"Yes",IFERROR(VLOOKUP(G19,'Grade Scale'!$A$2:$C$16,3,FALSE),"No")&lt;&gt;"Yes"),0,F19)</x:f>
        <x:v>15</x:v>
      </x:c>
      <x:c r="O19" s="119" t="n">
        <x:f>IF(OR(G19="",K19&lt;&gt;"Yes",L19=0,IFERROR(VLOOKUP(G19,'Grade Scale'!$A$2:$C$16,3,FALSE),"No")&lt;&gt;"Yes"),0,H19*L19)</x:f>
        <x:v>7</x:v>
      </x:c>
      <x:c r="P19" s="120" t="n">
        <x:f>IF(OR(G19="",K19&lt;&gt;"Yes",L19=0,IFERROR(VLOOKUP(G19,'Grade Scale'!$A$2:$C$16,3,FALSE),"No")&lt;&gt;"Yes"),0,9*L19)</x:f>
        <x:v>9</x:v>
      </x:c>
      <x:c r="Q19" s="160" t="str">
        <x:v>Completed</x:v>
      </x:c>
    </x:row>
    <x:row r="20">
      <x:c r="A20" s="84" t="n">
        <x:v>2</x:v>
      </x:c>
      <x:c r="B20" s="85" t="str">
        <x:v>2026-S1</x:v>
      </x:c>
      <x:c r="C20" s="85" t="str">
        <x:v>ENME608</x:v>
      </x:c>
      <x:c r="D20" s="100" t="str">
        <x:v>Mechanisms and Dynamics of Machinery</x:v>
      </x:c>
      <x:c r="E20" s="85" t="n">
        <x:v>6</x:v>
      </x:c>
      <x:c r="F20" s="85" t="n">
        <x:v>15</x:v>
      </x:c>
      <x:c r="G20" s="106" t="str">
        <x:v>C-</x:v>
      </x:c>
      <x:c r="H20" s="112" t="n">
        <x:f>IF(G20="","",IFERROR(VLOOKUP(G20,'Grade Scale'!$A$2:$B$16,2,FALSE),""))</x:f>
        <x:v>1</x:v>
      </x:c>
      <x:c r="I20" s="106" t="str">
        <x:v>Yes</x:v>
      </x:c>
      <x:c r="J20" s="106" t="str">
        <x:v>Core</x:v>
      </x:c>
      <x:c r="K20" s="106" t="str">
        <x:v>Yes</x:v>
      </x:c>
      <x:c r="L20" s="119" t="n">
        <x:f>IF(E20=6,1,IF(E20=7,2,IF(E20=8,3,0)))</x:f>
        <x:v>1</x:v>
      </x:c>
      <x:c r="M20" s="119" t="n">
        <x:f>IF(OR(G20="",I20&lt;&gt;"Yes",IFERROR(VLOOKUP(G20,'Grade Scale'!$A$2:$C$16,3,FALSE),"No")&lt;&gt;"Yes"),0,H20*F20)</x:f>
        <x:v>15</x:v>
      </x:c>
      <x:c r="N20" s="119" t="n">
        <x:f>IF(OR(G20="",I20&lt;&gt;"Yes",IFERROR(VLOOKUP(G20,'Grade Scale'!$A$2:$C$16,3,FALSE),"No")&lt;&gt;"Yes"),0,F20)</x:f>
        <x:v>15</x:v>
      </x:c>
      <x:c r="O20" s="119" t="n">
        <x:f>IF(OR(G20="",K20&lt;&gt;"Yes",L20=0,IFERROR(VLOOKUP(G20,'Grade Scale'!$A$2:$C$16,3,FALSE),"No")&lt;&gt;"Yes"),0,H20*L20)</x:f>
        <x:v>1</x:v>
      </x:c>
      <x:c r="P20" s="120" t="n">
        <x:f>IF(OR(G20="",K20&lt;&gt;"Yes",L20=0,IFERROR(VLOOKUP(G20,'Grade Scale'!$A$2:$C$16,3,FALSE),"No")&lt;&gt;"Yes"),0,9*L20)</x:f>
        <x:v>9</x:v>
      </x:c>
      <x:c r="Q20" s="160" t="str">
        <x:v>Completed</x:v>
      </x:c>
    </x:row>
    <x:row r="21">
      <x:c r="A21" s="84" t="n">
        <x:v>2</x:v>
      </x:c>
      <x:c r="B21" s="85" t="str">
        <x:v>2026-S1</x:v>
      </x:c>
      <x:c r="C21" s="85" t="str">
        <x:v>ENME609</x:v>
      </x:c>
      <x:c r="D21" s="100" t="str">
        <x:v>Solid Mechanics I</x:v>
      </x:c>
      <x:c r="E21" s="85" t="n">
        <x:v>6</x:v>
      </x:c>
      <x:c r="F21" s="85" t="n">
        <x:v>15</x:v>
      </x:c>
      <x:c r="G21" s="106" t="str">
        <x:v>C</x:v>
      </x:c>
      <x:c r="H21" s="112" t="n">
        <x:f>IF(G21="","",IFERROR(VLOOKUP(G21,'Grade Scale'!$A$2:$B$16,2,FALSE),""))</x:f>
        <x:v>2</x:v>
      </x:c>
      <x:c r="I21" s="106" t="str">
        <x:v>Yes</x:v>
      </x:c>
      <x:c r="J21" s="106" t="str">
        <x:v>Core</x:v>
      </x:c>
      <x:c r="K21" s="106" t="str">
        <x:v>Yes</x:v>
      </x:c>
      <x:c r="L21" s="119" t="n">
        <x:f>IF(E21=6,1,IF(E21=7,2,IF(E21=8,3,0)))</x:f>
        <x:v>1</x:v>
      </x:c>
      <x:c r="M21" s="119" t="n">
        <x:f>IF(OR(G21="",I21&lt;&gt;"Yes",IFERROR(VLOOKUP(G21,'Grade Scale'!$A$2:$C$16,3,FALSE),"No")&lt;&gt;"Yes"),0,H21*F21)</x:f>
        <x:v>30</x:v>
      </x:c>
      <x:c r="N21" s="119" t="n">
        <x:f>IF(OR(G21="",I21&lt;&gt;"Yes",IFERROR(VLOOKUP(G21,'Grade Scale'!$A$2:$C$16,3,FALSE),"No")&lt;&gt;"Yes"),0,F21)</x:f>
        <x:v>15</x:v>
      </x:c>
      <x:c r="O21" s="119" t="n">
        <x:f>IF(OR(G21="",K21&lt;&gt;"Yes",L21=0,IFERROR(VLOOKUP(G21,'Grade Scale'!$A$2:$C$16,3,FALSE),"No")&lt;&gt;"Yes"),0,H21*L21)</x:f>
        <x:v>2</x:v>
      </x:c>
      <x:c r="P21" s="120" t="n">
        <x:f>IF(OR(G21="",K21&lt;&gt;"Yes",L21=0,IFERROR(VLOOKUP(G21,'Grade Scale'!$A$2:$C$16,3,FALSE),"No")&lt;&gt;"Yes"),0,9*L21)</x:f>
        <x:v>9</x:v>
      </x:c>
      <x:c r="Q21" s="160" t="str">
        <x:v>Completed</x:v>
      </x:c>
    </x:row>
    <x:row r="22">
      <x:c r="A22" s="84" t="n">
        <x:v>2</x:v>
      </x:c>
      <x:c r="B22" s="85" t="str">
        <x:v>2026-S2</x:v>
      </x:c>
      <x:c r="C22" s="85" t="str">
        <x:v>ENGE702</x:v>
      </x:c>
      <x:c r="D22" s="100" t="str">
        <x:v>Engineering Mathematics III</x:v>
      </x:c>
      <x:c r="E22" s="85" t="n">
        <x:v>7</x:v>
      </x:c>
      <x:c r="F22" s="85" t="n">
        <x:v>15</x:v>
      </x:c>
      <x:c r="G22" s="106" t="str"/>
      <x:c r="H22" s="112" t="str">
        <x:f>IF(G22="","",IFERROR(VLOOKUP(G22,'Grade Scale'!$A$2:$B$16,2,FALSE),""))</x:f>
      </x:c>
      <x:c r="I22" s="106" t="str">
        <x:v>Yes</x:v>
      </x:c>
      <x:c r="J22" s="106" t="str">
        <x:v>Core</x:v>
      </x:c>
      <x:c r="K22" s="106" t="str">
        <x:v>Yes</x:v>
      </x:c>
      <x:c r="L22" s="119" t="n">
        <x:f>IF(E22=6,1,IF(E22=7,2,IF(E22=8,3,0)))</x:f>
        <x:v>2</x:v>
      </x:c>
      <x:c r="M22" s="119" t="n">
        <x:f>IF(OR(G22="",I22&lt;&gt;"Yes",IFERROR(VLOOKUP(G22,'Grade Scale'!$A$2:$C$16,3,FALSE),"No")&lt;&gt;"Yes"),0,H22*F22)</x:f>
        <x:v>0</x:v>
      </x:c>
      <x:c r="N22" s="119" t="n">
        <x:f>IF(OR(G22="",I22&lt;&gt;"Yes",IFERROR(VLOOKUP(G22,'Grade Scale'!$A$2:$C$16,3,FALSE),"No")&lt;&gt;"Yes"),0,F22)</x:f>
        <x:v>0</x:v>
      </x:c>
      <x:c r="O22" s="119" t="n">
        <x:f>IF(OR(G22="",K22&lt;&gt;"Yes",L22=0,IFERROR(VLOOKUP(G22,'Grade Scale'!$A$2:$C$16,3,FALSE),"No")&lt;&gt;"Yes"),0,H22*L22)</x:f>
        <x:v>0</x:v>
      </x:c>
      <x:c r="P22" s="120" t="n">
        <x:f>IF(OR(G22="",K22&lt;&gt;"Yes",L22=0,IFERROR(VLOOKUP(G22,'Grade Scale'!$A$2:$C$16,3,FALSE),"No")&lt;&gt;"Yes"),0,9*L22)</x:f>
        <x:v>0</x:v>
      </x:c>
      <x:c r="Q22" s="160" t="str">
        <x:v>Current</x:v>
      </x:c>
    </x:row>
    <x:row r="23">
      <x:c r="A23" s="84" t="n">
        <x:v>2</x:v>
      </x:c>
      <x:c r="B23" s="85" t="str">
        <x:v>2025-S2</x:v>
      </x:c>
      <x:c r="C23" s="85" t="str">
        <x:v>ENEL602</x:v>
      </x:c>
      <x:c r="D23" s="100" t="str">
        <x:v>Electronics Project</x:v>
      </x:c>
      <x:c r="E23" s="85" t="n">
        <x:v>6</x:v>
      </x:c>
      <x:c r="F23" s="85" t="n">
        <x:v>15</x:v>
      </x:c>
      <x:c r="G23" s="106" t="str">
        <x:v>B</x:v>
      </x:c>
      <x:c r="H23" s="112" t="n">
        <x:f>IF(G23="","",IFERROR(VLOOKUP(G23,'Grade Scale'!$A$2:$B$16,2,FALSE),""))</x:f>
        <x:v>5</x:v>
      </x:c>
      <x:c r="I23" s="106" t="str">
        <x:v>Yes</x:v>
      </x:c>
      <x:c r="J23" s="106" t="str">
        <x:v>Core</x:v>
      </x:c>
      <x:c r="K23" s="106" t="str">
        <x:v>Yes</x:v>
      </x:c>
      <x:c r="L23" s="119" t="n">
        <x:f>IF(E23=6,1,IF(E23=7,2,IF(E23=8,3,0)))</x:f>
        <x:v>1</x:v>
      </x:c>
      <x:c r="M23" s="119" t="n">
        <x:f>IF(OR(G23="",I23&lt;&gt;"Yes",IFERROR(VLOOKUP(G23,'Grade Scale'!$A$2:$C$16,3,FALSE),"No")&lt;&gt;"Yes"),0,H23*F23)</x:f>
        <x:v>75</x:v>
      </x:c>
      <x:c r="N23" s="119" t="n">
        <x:f>IF(OR(G23="",I23&lt;&gt;"Yes",IFERROR(VLOOKUP(G23,'Grade Scale'!$A$2:$C$16,3,FALSE),"No")&lt;&gt;"Yes"),0,F23)</x:f>
        <x:v>15</x:v>
      </x:c>
      <x:c r="O23" s="119" t="n">
        <x:f>IF(OR(G23="",K23&lt;&gt;"Yes",L23=0,IFERROR(VLOOKUP(G23,'Grade Scale'!$A$2:$C$16,3,FALSE),"No")&lt;&gt;"Yes"),0,H23*L23)</x:f>
        <x:v>5</x:v>
      </x:c>
      <x:c r="P23" s="120" t="n">
        <x:f>IF(OR(G23="",K23&lt;&gt;"Yes",L23=0,IFERROR(VLOOKUP(G23,'Grade Scale'!$A$2:$C$16,3,FALSE),"No")&lt;&gt;"Yes"),0,9*L23)</x:f>
        <x:v>9</x:v>
      </x:c>
      <x:c r="Q23" s="160" t="str">
        <x:v>Completed</x:v>
      </x:c>
    </x:row>
    <x:row r="24">
      <x:c r="A24" s="84" t="n">
        <x:v>2</x:v>
      </x:c>
      <x:c r="B24" s="85" t="str">
        <x:v>2025-S2</x:v>
      </x:c>
      <x:c r="C24" s="85" t="str">
        <x:v>ENEL606</x:v>
      </x:c>
      <x:c r="D24" s="100" t="str">
        <x:v>Analogue and Digital Systems</x:v>
      </x:c>
      <x:c r="E24" s="85" t="n">
        <x:v>6</x:v>
      </x:c>
      <x:c r="F24" s="85" t="n">
        <x:v>15</x:v>
      </x:c>
      <x:c r="G24" s="106" t="str">
        <x:v>A+</x:v>
      </x:c>
      <x:c r="H24" s="112" t="n">
        <x:f>IF(G24="","",IFERROR(VLOOKUP(G24,'Grade Scale'!$A$2:$B$16,2,FALSE),""))</x:f>
        <x:v>9</x:v>
      </x:c>
      <x:c r="I24" s="106" t="str">
        <x:v>Yes</x:v>
      </x:c>
      <x:c r="J24" s="106" t="str">
        <x:v>Core</x:v>
      </x:c>
      <x:c r="K24" s="106" t="str">
        <x:v>Yes</x:v>
      </x:c>
      <x:c r="L24" s="119" t="n">
        <x:f>IF(E24=6,1,IF(E24=7,2,IF(E24=8,3,0)))</x:f>
        <x:v>1</x:v>
      </x:c>
      <x:c r="M24" s="119" t="n">
        <x:f>IF(OR(G24="",I24&lt;&gt;"Yes",IFERROR(VLOOKUP(G24,'Grade Scale'!$A$2:$C$16,3,FALSE),"No")&lt;&gt;"Yes"),0,H24*F24)</x:f>
        <x:v>135</x:v>
      </x:c>
      <x:c r="N24" s="119" t="n">
        <x:f>IF(OR(G24="",I24&lt;&gt;"Yes",IFERROR(VLOOKUP(G24,'Grade Scale'!$A$2:$C$16,3,FALSE),"No")&lt;&gt;"Yes"),0,F24)</x:f>
        <x:v>15</x:v>
      </x:c>
      <x:c r="O24" s="119" t="n">
        <x:f>IF(OR(G24="",K24&lt;&gt;"Yes",L24=0,IFERROR(VLOOKUP(G24,'Grade Scale'!$A$2:$C$16,3,FALSE),"No")&lt;&gt;"Yes"),0,H24*L24)</x:f>
        <x:v>9</x:v>
      </x:c>
      <x:c r="P24" s="120" t="n">
        <x:f>IF(OR(G24="",K24&lt;&gt;"Yes",L24=0,IFERROR(VLOOKUP(G24,'Grade Scale'!$A$2:$C$16,3,FALSE),"No")&lt;&gt;"Yes"),0,9*L24)</x:f>
        <x:v>9</x:v>
      </x:c>
      <x:c r="Q24" s="160" t="str">
        <x:v>Completed</x:v>
      </x:c>
    </x:row>
    <x:row r="25">
      <x:c r="A25" s="84" t="n">
        <x:v>2</x:v>
      </x:c>
      <x:c r="B25" s="85" t="str">
        <x:v>2025-S2</x:v>
      </x:c>
      <x:c r="C25" s="85" t="str">
        <x:v>ENGE600</x:v>
      </x:c>
      <x:c r="D25" s="100" t="str">
        <x:v>Engineering Management I</x:v>
      </x:c>
      <x:c r="E25" s="85" t="n">
        <x:v>6</x:v>
      </x:c>
      <x:c r="F25" s="85" t="n">
        <x:v>15</x:v>
      </x:c>
      <x:c r="G25" s="106" t="str">
        <x:v>A+</x:v>
      </x:c>
      <x:c r="H25" s="112" t="n">
        <x:f>IF(G25="","",IFERROR(VLOOKUP(G25,'Grade Scale'!$A$2:$B$16,2,FALSE),""))</x:f>
        <x:v>9</x:v>
      </x:c>
      <x:c r="I25" s="106" t="str">
        <x:v>Yes</x:v>
      </x:c>
      <x:c r="J25" s="106" t="str">
        <x:v>Core</x:v>
      </x:c>
      <x:c r="K25" s="106" t="str">
        <x:v>Yes</x:v>
      </x:c>
      <x:c r="L25" s="119" t="n">
        <x:f>IF(E25=6,1,IF(E25=7,2,IF(E25=8,3,0)))</x:f>
        <x:v>1</x:v>
      </x:c>
      <x:c r="M25" s="119" t="n">
        <x:f>IF(OR(G25="",I25&lt;&gt;"Yes",IFERROR(VLOOKUP(G25,'Grade Scale'!$A$2:$C$16,3,FALSE),"No")&lt;&gt;"Yes"),0,H25*F25)</x:f>
        <x:v>135</x:v>
      </x:c>
      <x:c r="N25" s="119" t="n">
        <x:f>IF(OR(G25="",I25&lt;&gt;"Yes",IFERROR(VLOOKUP(G25,'Grade Scale'!$A$2:$C$16,3,FALSE),"No")&lt;&gt;"Yes"),0,F25)</x:f>
        <x:v>15</x:v>
      </x:c>
      <x:c r="O25" s="119" t="n">
        <x:f>IF(OR(G25="",K25&lt;&gt;"Yes",L25=0,IFERROR(VLOOKUP(G25,'Grade Scale'!$A$2:$C$16,3,FALSE),"No")&lt;&gt;"Yes"),0,H25*L25)</x:f>
        <x:v>9</x:v>
      </x:c>
      <x:c r="P25" s="120" t="n">
        <x:f>IF(OR(G25="",K25&lt;&gt;"Yes",L25=0,IFERROR(VLOOKUP(G25,'Grade Scale'!$A$2:$C$16,3,FALSE),"No")&lt;&gt;"Yes"),0,9*L25)</x:f>
        <x:v>9</x:v>
      </x:c>
      <x:c r="Q25" s="160" t="str">
        <x:v>Completed</x:v>
      </x:c>
    </x:row>
    <x:row r="26">
      <x:c r="A26" s="84" t="n">
        <x:v>2</x:v>
      </x:c>
      <x:c r="B26" s="85" t="str">
        <x:v>2025-S2</x:v>
      </x:c>
      <x:c r="C26" s="85" t="str">
        <x:v>ENME601</x:v>
      </x:c>
      <x:c r="D26" s="100" t="str">
        <x:v>Thermodynamics — first attempt</x:v>
      </x:c>
      <x:c r="E26" s="85" t="n">
        <x:v>6</x:v>
      </x:c>
      <x:c r="F26" s="85" t="n">
        <x:v>15</x:v>
      </x:c>
      <x:c r="G26" s="106" t="str">
        <x:v>D</x:v>
      </x:c>
      <x:c r="H26" s="112" t="n">
        <x:f>IF(G26="","",IFERROR(VLOOKUP(G26,'Grade Scale'!$A$2:$B$16,2,FALSE),""))</x:f>
        <x:v>0</x:v>
      </x:c>
      <x:c r="I26" s="106" t="str">
        <x:v>Yes</x:v>
      </x:c>
      <x:c r="J26" s="106" t="str">
        <x:v>Core</x:v>
      </x:c>
      <x:c r="K26" s="106" t="str">
        <x:v>Yes</x:v>
      </x:c>
      <x:c r="L26" s="119" t="n">
        <x:f>IF(E26=6,1,IF(E26=7,2,IF(E26=8,3,0)))</x:f>
        <x:v>1</x:v>
      </x:c>
      <x:c r="M26" s="119" t="n">
        <x:f>IF(OR(G26="",I26&lt;&gt;"Yes",IFERROR(VLOOKUP(G26,'Grade Scale'!$A$2:$C$16,3,FALSE),"No")&lt;&gt;"Yes"),0,H26*F26)</x:f>
        <x:v>0</x:v>
      </x:c>
      <x:c r="N26" s="119" t="n">
        <x:f>IF(OR(G26="",I26&lt;&gt;"Yes",IFERROR(VLOOKUP(G26,'Grade Scale'!$A$2:$C$16,3,FALSE),"No")&lt;&gt;"Yes"),0,F26)</x:f>
        <x:v>15</x:v>
      </x:c>
      <x:c r="O26" s="119" t="n">
        <x:f>IF(OR(G26="",K26&lt;&gt;"Yes",L26=0,IFERROR(VLOOKUP(G26,'Grade Scale'!$A$2:$C$16,3,FALSE),"No")&lt;&gt;"Yes"),0,H26*L26)</x:f>
        <x:v>0</x:v>
      </x:c>
      <x:c r="P26" s="120" t="n">
        <x:f>IF(OR(G26="",K26&lt;&gt;"Yes",L26=0,IFERROR(VLOOKUP(G26,'Grade Scale'!$A$2:$C$16,3,FALSE),"No")&lt;&gt;"Yes"),0,9*L26)</x:f>
        <x:v>9</x:v>
      </x:c>
      <x:c r="Q26" s="160" t="str">
        <x:v>Completed</x:v>
      </x:c>
    </x:row>
    <x:row r="27">
      <x:c r="A27" s="84" t="n">
        <x:v>2</x:v>
      </x:c>
      <x:c r="B27" s="85" t="str">
        <x:v>2026-S2</x:v>
      </x:c>
      <x:c r="C27" s="85" t="str">
        <x:v>ENME601</x:v>
      </x:c>
      <x:c r="D27" s="100" t="str">
        <x:v>Thermodynamics — repeat attempt</x:v>
      </x:c>
      <x:c r="E27" s="85" t="n">
        <x:v>6</x:v>
      </x:c>
      <x:c r="F27" s="85" t="n">
        <x:v>15</x:v>
      </x:c>
      <x:c r="G27" s="106" t="str"/>
      <x:c r="H27" s="112" t="str">
        <x:f>IF(G27="","",IFERROR(VLOOKUP(G27,'Grade Scale'!$A$2:$B$16,2,FALSE),""))</x:f>
      </x:c>
      <x:c r="I27" s="106" t="str">
        <x:v>Yes</x:v>
      </x:c>
      <x:c r="J27" s="106" t="str">
        <x:v>Core</x:v>
      </x:c>
      <x:c r="K27" s="106" t="str">
        <x:v>Yes</x:v>
      </x:c>
      <x:c r="L27" s="119" t="n">
        <x:f>IF(E27=6,1,IF(E27=7,2,IF(E27=8,3,0)))</x:f>
        <x:v>1</x:v>
      </x:c>
      <x:c r="M27" s="119" t="n">
        <x:f>IF(OR(G27="",I27&lt;&gt;"Yes",IFERROR(VLOOKUP(G27,'Grade Scale'!$A$2:$C$16,3,FALSE),"No")&lt;&gt;"Yes"),0,H27*F27)</x:f>
        <x:v>0</x:v>
      </x:c>
      <x:c r="N27" s="119" t="n">
        <x:f>IF(OR(G27="",I27&lt;&gt;"Yes",IFERROR(VLOOKUP(G27,'Grade Scale'!$A$2:$C$16,3,FALSE),"No")&lt;&gt;"Yes"),0,F27)</x:f>
        <x:v>0</x:v>
      </x:c>
      <x:c r="O27" s="119" t="n">
        <x:f>IF(OR(G27="",K27&lt;&gt;"Yes",L27=0,IFERROR(VLOOKUP(G27,'Grade Scale'!$A$2:$C$16,3,FALSE),"No")&lt;&gt;"Yes"),0,H27*L27)</x:f>
        <x:v>0</x:v>
      </x:c>
      <x:c r="P27" s="120" t="n">
        <x:f>IF(OR(G27="",K27&lt;&gt;"Yes",L27=0,IFERROR(VLOOKUP(G27,'Grade Scale'!$A$2:$C$16,3,FALSE),"No")&lt;&gt;"Yes"),0,9*L27)</x:f>
        <x:v>0</x:v>
      </x:c>
      <x:c r="Q27" s="160" t="str">
        <x:v>Current</x:v>
      </x:c>
    </x:row>
    <x:row r="28">
      <x:c r="A28" s="84" t="n">
        <x:v>3</x:v>
      </x:c>
      <x:c r="B28" s="85" t="str">
        <x:v>TBC</x:v>
      </x:c>
      <x:c r="C28" s="85" t="str">
        <x:v>ENEL702</x:v>
      </x:c>
      <x:c r="D28" s="100" t="str">
        <x:v>Instrumentation and Control Systems</x:v>
      </x:c>
      <x:c r="E28" s="85" t="n">
        <x:v>7</x:v>
      </x:c>
      <x:c r="F28" s="85" t="n">
        <x:v>15</x:v>
      </x:c>
      <x:c r="G28" s="106" t="str"/>
      <x:c r="H28" s="112" t="str">
        <x:f>IF(G28="","",IFERROR(VLOOKUP(G28,'Grade Scale'!$A$2:$B$16,2,FALSE),""))</x:f>
      </x:c>
      <x:c r="I28" s="106" t="str">
        <x:v>Yes</x:v>
      </x:c>
      <x:c r="J28" s="106" t="str">
        <x:v>Core</x:v>
      </x:c>
      <x:c r="K28" s="106" t="str">
        <x:v>Yes</x:v>
      </x:c>
      <x:c r="L28" s="119" t="n">
        <x:f>IF(E28=6,1,IF(E28=7,2,IF(E28=8,3,0)))</x:f>
        <x:v>2</x:v>
      </x:c>
      <x:c r="M28" s="119" t="n">
        <x:f>IF(OR(G28="",I28&lt;&gt;"Yes",IFERROR(VLOOKUP(G28,'Grade Scale'!$A$2:$C$16,3,FALSE),"No")&lt;&gt;"Yes"),0,H28*F28)</x:f>
        <x:v>0</x:v>
      </x:c>
      <x:c r="N28" s="119" t="n">
        <x:f>IF(OR(G28="",I28&lt;&gt;"Yes",IFERROR(VLOOKUP(G28,'Grade Scale'!$A$2:$C$16,3,FALSE),"No")&lt;&gt;"Yes"),0,F28)</x:f>
        <x:v>0</x:v>
      </x:c>
      <x:c r="O28" s="119" t="n">
        <x:f>IF(OR(G28="",K28&lt;&gt;"Yes",L28=0,IFERROR(VLOOKUP(G28,'Grade Scale'!$A$2:$C$16,3,FALSE),"No")&lt;&gt;"Yes"),0,H28*L28)</x:f>
        <x:v>0</x:v>
      </x:c>
      <x:c r="P28" s="120" t="n">
        <x:f>IF(OR(G28="",K28&lt;&gt;"Yes",L28=0,IFERROR(VLOOKUP(G28,'Grade Scale'!$A$2:$C$16,3,FALSE),"No")&lt;&gt;"Yes"),0,9*L28)</x:f>
        <x:v>0</x:v>
      </x:c>
      <x:c r="Q28" s="160" t="str">
        <x:v>Remaining</x:v>
      </x:c>
    </x:row>
    <x:row r="29">
      <x:c r="A29" s="84" t="n">
        <x:v>3</x:v>
      </x:c>
      <x:c r="B29" s="85" t="str">
        <x:v>2026-S1</x:v>
      </x:c>
      <x:c r="C29" s="85" t="str">
        <x:v>ENEL712</x:v>
      </x:c>
      <x:c r="D29" s="100" t="str">
        <x:v>Embedded System Design</x:v>
      </x:c>
      <x:c r="E29" s="85" t="n">
        <x:v>7</x:v>
      </x:c>
      <x:c r="F29" s="85" t="n">
        <x:v>15</x:v>
      </x:c>
      <x:c r="G29" s="106" t="str">
        <x:v>C+</x:v>
      </x:c>
      <x:c r="H29" s="112" t="n">
        <x:f>IF(G29="","",IFERROR(VLOOKUP(G29,'Grade Scale'!$A$2:$B$16,2,FALSE),""))</x:f>
        <x:v>3</x:v>
      </x:c>
      <x:c r="I29" s="106" t="str">
        <x:v>Yes</x:v>
      </x:c>
      <x:c r="J29" s="106" t="str">
        <x:v>Core</x:v>
      </x:c>
      <x:c r="K29" s="106" t="str">
        <x:v>Yes</x:v>
      </x:c>
      <x:c r="L29" s="119" t="n">
        <x:f>IF(E29=6,1,IF(E29=7,2,IF(E29=8,3,0)))</x:f>
        <x:v>2</x:v>
      </x:c>
      <x:c r="M29" s="119" t="n">
        <x:f>IF(OR(G29="",I29&lt;&gt;"Yes",IFERROR(VLOOKUP(G29,'Grade Scale'!$A$2:$C$16,3,FALSE),"No")&lt;&gt;"Yes"),0,H29*F29)</x:f>
        <x:v>45</x:v>
      </x:c>
      <x:c r="N29" s="119" t="n">
        <x:f>IF(OR(G29="",I29&lt;&gt;"Yes",IFERROR(VLOOKUP(G29,'Grade Scale'!$A$2:$C$16,3,FALSE),"No")&lt;&gt;"Yes"),0,F29)</x:f>
        <x:v>15</x:v>
      </x:c>
      <x:c r="O29" s="119" t="n">
        <x:f>IF(OR(G29="",K29&lt;&gt;"Yes",L29=0,IFERROR(VLOOKUP(G29,'Grade Scale'!$A$2:$C$16,3,FALSE),"No")&lt;&gt;"Yes"),0,H29*L29)</x:f>
        <x:v>6</x:v>
      </x:c>
      <x:c r="P29" s="120" t="n">
        <x:f>IF(OR(G29="",K29&lt;&gt;"Yes",L29=0,IFERROR(VLOOKUP(G29,'Grade Scale'!$A$2:$C$16,3,FALSE),"No")&lt;&gt;"Yes"),0,9*L29)</x:f>
        <x:v>18</x:v>
      </x:c>
      <x:c r="Q29" s="160" t="str">
        <x:v>Completed</x:v>
      </x:c>
    </x:row>
    <x:row r="30">
      <x:c r="A30" s="84" t="n">
        <x:v>3</x:v>
      </x:c>
      <x:c r="B30" s="85" t="str">
        <x:v>TBC</x:v>
      </x:c>
      <x:c r="C30" s="85" t="str">
        <x:v>ENME701</x:v>
      </x:c>
      <x:c r="D30" s="100" t="str">
        <x:v>System Dynamics and Vibrations</x:v>
      </x:c>
      <x:c r="E30" s="85" t="n">
        <x:v>7</x:v>
      </x:c>
      <x:c r="F30" s="85" t="n">
        <x:v>15</x:v>
      </x:c>
      <x:c r="G30" s="106" t="str"/>
      <x:c r="H30" s="112" t="str">
        <x:f>IF(G30="","",IFERROR(VLOOKUP(G30,'Grade Scale'!$A$2:$B$16,2,FALSE),""))</x:f>
      </x:c>
      <x:c r="I30" s="106" t="str">
        <x:v>Yes</x:v>
      </x:c>
      <x:c r="J30" s="106" t="str">
        <x:v>Core</x:v>
      </x:c>
      <x:c r="K30" s="106" t="str">
        <x:v>Yes</x:v>
      </x:c>
      <x:c r="L30" s="119" t="n">
        <x:f>IF(E30=6,1,IF(E30=7,2,IF(E30=8,3,0)))</x:f>
        <x:v>2</x:v>
      </x:c>
      <x:c r="M30" s="119" t="n">
        <x:f>IF(OR(G30="",I30&lt;&gt;"Yes",IFERROR(VLOOKUP(G30,'Grade Scale'!$A$2:$C$16,3,FALSE),"No")&lt;&gt;"Yes"),0,H30*F30)</x:f>
        <x:v>0</x:v>
      </x:c>
      <x:c r="N30" s="119" t="n">
        <x:f>IF(OR(G30="",I30&lt;&gt;"Yes",IFERROR(VLOOKUP(G30,'Grade Scale'!$A$2:$C$16,3,FALSE),"No")&lt;&gt;"Yes"),0,F30)</x:f>
        <x:v>0</x:v>
      </x:c>
      <x:c r="O30" s="119" t="n">
        <x:f>IF(OR(G30="",K30&lt;&gt;"Yes",L30=0,IFERROR(VLOOKUP(G30,'Grade Scale'!$A$2:$C$16,3,FALSE),"No")&lt;&gt;"Yes"),0,H30*L30)</x:f>
        <x:v>0</x:v>
      </x:c>
      <x:c r="P30" s="120" t="n">
        <x:f>IF(OR(G30="",K30&lt;&gt;"Yes",L30=0,IFERROR(VLOOKUP(G30,'Grade Scale'!$A$2:$C$16,3,FALSE),"No")&lt;&gt;"Yes"),0,9*L30)</x:f>
        <x:v>0</x:v>
      </x:c>
      <x:c r="Q30" s="160" t="str">
        <x:v>Remaining</x:v>
      </x:c>
    </x:row>
    <x:row r="31">
      <x:c r="A31" s="84" t="n">
        <x:v>3</x:v>
      </x:c>
      <x:c r="B31" s="85" t="str">
        <x:v>TBC</x:v>
      </x:c>
      <x:c r="C31" s="85" t="str">
        <x:v>ELECTIVE</x:v>
      </x:c>
      <x:c r="D31" s="100" t="str">
        <x:v>Year 3 elective</x:v>
      </x:c>
      <x:c r="E31" s="85" t="n">
        <x:v>7</x:v>
      </x:c>
      <x:c r="F31" s="85" t="n">
        <x:v>15</x:v>
      </x:c>
      <x:c r="G31" s="106" t="str"/>
      <x:c r="H31" s="112" t="str">
        <x:f>IF(G31="","",IFERROR(VLOOKUP(G31,'Grade Scale'!$A$2:$B$16,2,FALSE),""))</x:f>
      </x:c>
      <x:c r="I31" s="106" t="str">
        <x:v>Yes</x:v>
      </x:c>
      <x:c r="J31" s="106" t="str">
        <x:v>Major Optional</x:v>
      </x:c>
      <x:c r="K31" s="106" t="str">
        <x:v>Yes</x:v>
      </x:c>
      <x:c r="L31" s="119" t="n">
        <x:f>IF(E31=6,1,IF(E31=7,2,IF(E31=8,3,0)))</x:f>
        <x:v>2</x:v>
      </x:c>
      <x:c r="M31" s="119" t="n">
        <x:f>IF(OR(G31="",I31&lt;&gt;"Yes",IFERROR(VLOOKUP(G31,'Grade Scale'!$A$2:$C$16,3,FALSE),"No")&lt;&gt;"Yes"),0,H31*F31)</x:f>
        <x:v>0</x:v>
      </x:c>
      <x:c r="N31" s="119" t="n">
        <x:f>IF(OR(G31="",I31&lt;&gt;"Yes",IFERROR(VLOOKUP(G31,'Grade Scale'!$A$2:$C$16,3,FALSE),"No")&lt;&gt;"Yes"),0,F31)</x:f>
        <x:v>0</x:v>
      </x:c>
      <x:c r="O31" s="119" t="n">
        <x:f>IF(OR(G31="",K31&lt;&gt;"Yes",L31=0,IFERROR(VLOOKUP(G31,'Grade Scale'!$A$2:$C$16,3,FALSE),"No")&lt;&gt;"Yes"),0,H31*L31)</x:f>
        <x:v>0</x:v>
      </x:c>
      <x:c r="P31" s="120" t="n">
        <x:f>IF(OR(G31="",K31&lt;&gt;"Yes",L31=0,IFERROR(VLOOKUP(G31,'Grade Scale'!$A$2:$C$16,3,FALSE),"No")&lt;&gt;"Yes"),0,9*L31)</x:f>
        <x:v>0</x:v>
      </x:c>
      <x:c r="Q31" s="160" t="str">
        <x:v>Remaining</x:v>
      </x:c>
    </x:row>
    <x:row r="32">
      <x:c r="A32" s="84" t="n">
        <x:v>3</x:v>
      </x:c>
      <x:c r="B32" s="85" t="str">
        <x:v>2026-S2</x:v>
      </x:c>
      <x:c r="C32" s="85" t="str">
        <x:v>ENEL700</x:v>
      </x:c>
      <x:c r="D32" s="100" t="str">
        <x:v>Communication Engineering</x:v>
      </x:c>
      <x:c r="E32" s="85" t="n">
        <x:v>7</x:v>
      </x:c>
      <x:c r="F32" s="85" t="n">
        <x:v>15</x:v>
      </x:c>
      <x:c r="G32" s="106" t="str"/>
      <x:c r="H32" s="112" t="str">
        <x:f>IF(G32="","",IFERROR(VLOOKUP(G32,'Grade Scale'!$A$2:$B$16,2,FALSE),""))</x:f>
      </x:c>
      <x:c r="I32" s="106" t="str">
        <x:v>Yes</x:v>
      </x:c>
      <x:c r="J32" s="106" t="str">
        <x:v>Core</x:v>
      </x:c>
      <x:c r="K32" s="106" t="str">
        <x:v>Yes</x:v>
      </x:c>
      <x:c r="L32" s="119" t="n">
        <x:f>IF(E32=6,1,IF(E32=7,2,IF(E32=8,3,0)))</x:f>
        <x:v>2</x:v>
      </x:c>
      <x:c r="M32" s="119" t="n">
        <x:f>IF(OR(G32="",I32&lt;&gt;"Yes",IFERROR(VLOOKUP(G32,'Grade Scale'!$A$2:$C$16,3,FALSE),"No")&lt;&gt;"Yes"),0,H32*F32)</x:f>
        <x:v>0</x:v>
      </x:c>
      <x:c r="N32" s="119" t="n">
        <x:f>IF(OR(G32="",I32&lt;&gt;"Yes",IFERROR(VLOOKUP(G32,'Grade Scale'!$A$2:$C$16,3,FALSE),"No")&lt;&gt;"Yes"),0,F32)</x:f>
        <x:v>0</x:v>
      </x:c>
      <x:c r="O32" s="119" t="n">
        <x:f>IF(OR(G32="",K32&lt;&gt;"Yes",L32=0,IFERROR(VLOOKUP(G32,'Grade Scale'!$A$2:$C$16,3,FALSE),"No")&lt;&gt;"Yes"),0,H32*L32)</x:f>
        <x:v>0</x:v>
      </x:c>
      <x:c r="P32" s="120" t="n">
        <x:f>IF(OR(G32="",K32&lt;&gt;"Yes",L32=0,IFERROR(VLOOKUP(G32,'Grade Scale'!$A$2:$C$16,3,FALSE),"No")&lt;&gt;"Yes"),0,9*L32)</x:f>
        <x:v>0</x:v>
      </x:c>
      <x:c r="Q32" s="160" t="str">
        <x:v>Current</x:v>
      </x:c>
    </x:row>
    <x:row r="33">
      <x:c r="A33" s="84" t="n">
        <x:v>3</x:v>
      </x:c>
      <x:c r="B33" s="85" t="str">
        <x:v>TBC</x:v>
      </x:c>
      <x:c r="C33" s="85" t="str">
        <x:v>ENEL711</x:v>
      </x:c>
      <x:c r="D33" s="100" t="str">
        <x:v>Machines and Drives</x:v>
      </x:c>
      <x:c r="E33" s="85" t="n">
        <x:v>7</x:v>
      </x:c>
      <x:c r="F33" s="85" t="n">
        <x:v>15</x:v>
      </x:c>
      <x:c r="G33" s="106" t="str"/>
      <x:c r="H33" s="112" t="str">
        <x:f>IF(G33="","",IFERROR(VLOOKUP(G33,'Grade Scale'!$A$2:$B$16,2,FALSE),""))</x:f>
      </x:c>
      <x:c r="I33" s="106" t="str">
        <x:v>Yes</x:v>
      </x:c>
      <x:c r="J33" s="106" t="str">
        <x:v>Core</x:v>
      </x:c>
      <x:c r="K33" s="106" t="str">
        <x:v>Yes</x:v>
      </x:c>
      <x:c r="L33" s="119" t="n">
        <x:f>IF(E33=6,1,IF(E33=7,2,IF(E33=8,3,0)))</x:f>
        <x:v>2</x:v>
      </x:c>
      <x:c r="M33" s="119" t="n">
        <x:f>IF(OR(G33="",I33&lt;&gt;"Yes",IFERROR(VLOOKUP(G33,'Grade Scale'!$A$2:$C$16,3,FALSE),"No")&lt;&gt;"Yes"),0,H33*F33)</x:f>
        <x:v>0</x:v>
      </x:c>
      <x:c r="N33" s="119" t="n">
        <x:f>IF(OR(G33="",I33&lt;&gt;"Yes",IFERROR(VLOOKUP(G33,'Grade Scale'!$A$2:$C$16,3,FALSE),"No")&lt;&gt;"Yes"),0,F33)</x:f>
        <x:v>0</x:v>
      </x:c>
      <x:c r="O33" s="119" t="n">
        <x:f>IF(OR(G33="",K33&lt;&gt;"Yes",L33=0,IFERROR(VLOOKUP(G33,'Grade Scale'!$A$2:$C$16,3,FALSE),"No")&lt;&gt;"Yes"),0,H33*L33)</x:f>
        <x:v>0</x:v>
      </x:c>
      <x:c r="P33" s="120" t="n">
        <x:f>IF(OR(G33="",K33&lt;&gt;"Yes",L33=0,IFERROR(VLOOKUP(G33,'Grade Scale'!$A$2:$C$16,3,FALSE),"No")&lt;&gt;"Yes"),0,9*L33)</x:f>
        <x:v>0</x:v>
      </x:c>
      <x:c r="Q33" s="160" t="str">
        <x:v>Remaining</x:v>
      </x:c>
    </x:row>
    <x:row r="34">
      <x:c r="A34" s="84" t="n">
        <x:v>3</x:v>
      </x:c>
      <x:c r="B34" s="85" t="str">
        <x:v>2026-S2</x:v>
      </x:c>
      <x:c r="C34" s="85" t="str">
        <x:v>ENGE707</x:v>
      </x:c>
      <x:c r="D34" s="100" t="str">
        <x:v>Data Engineering and AI</x:v>
      </x:c>
      <x:c r="E34" s="85" t="n">
        <x:v>7</x:v>
      </x:c>
      <x:c r="F34" s="85" t="n">
        <x:v>15</x:v>
      </x:c>
      <x:c r="G34" s="106" t="str"/>
      <x:c r="H34" s="112" t="str">
        <x:f>IF(G34="","",IFERROR(VLOOKUP(G34,'Grade Scale'!$A$2:$B$16,2,FALSE),""))</x:f>
      </x:c>
      <x:c r="I34" s="106" t="str">
        <x:v>Yes</x:v>
      </x:c>
      <x:c r="J34" s="106" t="str">
        <x:v>Core</x:v>
      </x:c>
      <x:c r="K34" s="106" t="str">
        <x:v>Yes</x:v>
      </x:c>
      <x:c r="L34" s="119" t="n">
        <x:f>IF(E34=6,1,IF(E34=7,2,IF(E34=8,3,0)))</x:f>
        <x:v>2</x:v>
      </x:c>
      <x:c r="M34" s="119" t="n">
        <x:f>IF(OR(G34="",I34&lt;&gt;"Yes",IFERROR(VLOOKUP(G34,'Grade Scale'!$A$2:$C$16,3,FALSE),"No")&lt;&gt;"Yes"),0,H34*F34)</x:f>
        <x:v>0</x:v>
      </x:c>
      <x:c r="N34" s="119" t="n">
        <x:f>IF(OR(G34="",I34&lt;&gt;"Yes",IFERROR(VLOOKUP(G34,'Grade Scale'!$A$2:$C$16,3,FALSE),"No")&lt;&gt;"Yes"),0,F34)</x:f>
        <x:v>0</x:v>
      </x:c>
      <x:c r="O34" s="119" t="n">
        <x:f>IF(OR(G34="",K34&lt;&gt;"Yes",L34=0,IFERROR(VLOOKUP(G34,'Grade Scale'!$A$2:$C$16,3,FALSE),"No")&lt;&gt;"Yes"),0,H34*L34)</x:f>
        <x:v>0</x:v>
      </x:c>
      <x:c r="P34" s="120" t="n">
        <x:f>IF(OR(G34="",K34&lt;&gt;"Yes",L34=0,IFERROR(VLOOKUP(G34,'Grade Scale'!$A$2:$C$16,3,FALSE),"No")&lt;&gt;"Yes"),0,9*L34)</x:f>
        <x:v>0</x:v>
      </x:c>
      <x:c r="Q34" s="160" t="str">
        <x:v>Current</x:v>
      </x:c>
    </x:row>
    <x:row r="35">
      <x:c r="A35" s="84" t="n">
        <x:v>3</x:v>
      </x:c>
      <x:c r="B35" s="85" t="str">
        <x:v>TBC</x:v>
      </x:c>
      <x:c r="C35" s="85" t="str">
        <x:v>ENME703</x:v>
      </x:c>
      <x:c r="D35" s="100" t="str">
        <x:v>Mechatronics Design and Control</x:v>
      </x:c>
      <x:c r="E35" s="85" t="n">
        <x:v>7</x:v>
      </x:c>
      <x:c r="F35" s="85" t="n">
        <x:v>15</x:v>
      </x:c>
      <x:c r="G35" s="106" t="str"/>
      <x:c r="H35" s="112" t="str">
        <x:f>IF(G35="","",IFERROR(VLOOKUP(G35,'Grade Scale'!$A$2:$B$16,2,FALSE),""))</x:f>
      </x:c>
      <x:c r="I35" s="106" t="str">
        <x:v>Yes</x:v>
      </x:c>
      <x:c r="J35" s="106" t="str">
        <x:v>Core</x:v>
      </x:c>
      <x:c r="K35" s="106" t="str">
        <x:v>Yes</x:v>
      </x:c>
      <x:c r="L35" s="119" t="n">
        <x:f>IF(E35=6,1,IF(E35=7,2,IF(E35=8,3,0)))</x:f>
        <x:v>2</x:v>
      </x:c>
      <x:c r="M35" s="119" t="n">
        <x:f>IF(OR(G35="",I35&lt;&gt;"Yes",IFERROR(VLOOKUP(G35,'Grade Scale'!$A$2:$C$16,3,FALSE),"No")&lt;&gt;"Yes"),0,H35*F35)</x:f>
        <x:v>0</x:v>
      </x:c>
      <x:c r="N35" s="119" t="n">
        <x:f>IF(OR(G35="",I35&lt;&gt;"Yes",IFERROR(VLOOKUP(G35,'Grade Scale'!$A$2:$C$16,3,FALSE),"No")&lt;&gt;"Yes"),0,F35)</x:f>
        <x:v>0</x:v>
      </x:c>
      <x:c r="O35" s="119" t="n">
        <x:f>IF(OR(G35="",K35&lt;&gt;"Yes",L35=0,IFERROR(VLOOKUP(G35,'Grade Scale'!$A$2:$C$16,3,FALSE),"No")&lt;&gt;"Yes"),0,H35*L35)</x:f>
        <x:v>0</x:v>
      </x:c>
      <x:c r="P35" s="120" t="n">
        <x:f>IF(OR(G35="",K35&lt;&gt;"Yes",L35=0,IFERROR(VLOOKUP(G35,'Grade Scale'!$A$2:$C$16,3,FALSE),"No")&lt;&gt;"Yes"),0,9*L35)</x:f>
        <x:v>0</x:v>
      </x:c>
      <x:c r="Q35" s="160" t="str">
        <x:v>Remaining</x:v>
      </x:c>
    </x:row>
    <x:row r="36">
      <x:c r="A36" s="84" t="n">
        <x:v>4</x:v>
      </x:c>
      <x:c r="B36" s="85" t="str">
        <x:v>TBC-S1</x:v>
      </x:c>
      <x:c r="C36" s="85" t="str">
        <x:v>ENGE891</x:v>
      </x:c>
      <x:c r="D36" s="100" t="str">
        <x:v>Final Year Research Project (Part A)</x:v>
      </x:c>
      <x:c r="E36" s="85" t="n">
        <x:v>8</x:v>
      </x:c>
      <x:c r="F36" s="85" t="n">
        <x:v>15</x:v>
      </x:c>
      <x:c r="G36" s="106" t="str"/>
      <x:c r="H36" s="112" t="str">
        <x:f>IF(G36="","",IFERROR(VLOOKUP(G36,'Grade Scale'!$A$2:$B$16,2,FALSE),""))</x:f>
      </x:c>
      <x:c r="I36" s="106" t="str">
        <x:v>Yes</x:v>
      </x:c>
      <x:c r="J36" s="106" t="str">
        <x:v>Core</x:v>
      </x:c>
      <x:c r="K36" s="106" t="str">
        <x:v>Yes</x:v>
      </x:c>
      <x:c r="L36" s="119" t="n">
        <x:f>IF(E36=6,1,IF(E36=7,2,IF(E36=8,3,0)))</x:f>
        <x:v>3</x:v>
      </x:c>
      <x:c r="M36" s="119" t="n">
        <x:f>IF(OR(G36="",I36&lt;&gt;"Yes",IFERROR(VLOOKUP(G36,'Grade Scale'!$A$2:$C$16,3,FALSE),"No")&lt;&gt;"Yes"),0,H36*F36)</x:f>
        <x:v>0</x:v>
      </x:c>
      <x:c r="N36" s="119" t="n">
        <x:f>IF(OR(G36="",I36&lt;&gt;"Yes",IFERROR(VLOOKUP(G36,'Grade Scale'!$A$2:$C$16,3,FALSE),"No")&lt;&gt;"Yes"),0,F36)</x:f>
        <x:v>0</x:v>
      </x:c>
      <x:c r="O36" s="119" t="n">
        <x:f>IF(OR(G36="",K36&lt;&gt;"Yes",L36=0,IFERROR(VLOOKUP(G36,'Grade Scale'!$A$2:$C$16,3,FALSE),"No")&lt;&gt;"Yes"),0,H36*L36)</x:f>
        <x:v>0</x:v>
      </x:c>
      <x:c r="P36" s="120" t="n">
        <x:f>IF(OR(G36="",K36&lt;&gt;"Yes",L36=0,IFERROR(VLOOKUP(G36,'Grade Scale'!$A$2:$C$16,3,FALSE),"No")&lt;&gt;"Yes"),0,9*L36)</x:f>
        <x:v>0</x:v>
      </x:c>
      <x:c r="Q36" s="160" t="str">
        <x:v>Remaining</x:v>
      </x:c>
    </x:row>
    <x:row r="37">
      <x:c r="A37" s="84" t="n">
        <x:v>4</x:v>
      </x:c>
      <x:c r="B37" s="85" t="str">
        <x:v>TBC-S1</x:v>
      </x:c>
      <x:c r="C37" s="85" t="str">
        <x:v>ENEL809</x:v>
      </x:c>
      <x:c r="D37" s="100" t="str">
        <x:v>Digital Control</x:v>
      </x:c>
      <x:c r="E37" s="85" t="n">
        <x:v>8</x:v>
      </x:c>
      <x:c r="F37" s="85" t="n">
        <x:v>15</x:v>
      </x:c>
      <x:c r="G37" s="106" t="str"/>
      <x:c r="H37" s="112" t="str">
        <x:f>IF(G37="","",IFERROR(VLOOKUP(G37,'Grade Scale'!$A$2:$B$16,2,FALSE),""))</x:f>
      </x:c>
      <x:c r="I37" s="106" t="str">
        <x:v>Yes</x:v>
      </x:c>
      <x:c r="J37" s="106" t="str">
        <x:v>Major Optional</x:v>
      </x:c>
      <x:c r="K37" s="106" t="str">
        <x:v>Yes</x:v>
      </x:c>
      <x:c r="L37" s="119" t="n">
        <x:f>IF(E37=6,1,IF(E37=7,2,IF(E37=8,3,0)))</x:f>
        <x:v>3</x:v>
      </x:c>
      <x:c r="M37" s="119" t="n">
        <x:f>IF(OR(G37="",I37&lt;&gt;"Yes",IFERROR(VLOOKUP(G37,'Grade Scale'!$A$2:$C$16,3,FALSE),"No")&lt;&gt;"Yes"),0,H37*F37)</x:f>
        <x:v>0</x:v>
      </x:c>
      <x:c r="N37" s="119" t="n">
        <x:f>IF(OR(G37="",I37&lt;&gt;"Yes",IFERROR(VLOOKUP(G37,'Grade Scale'!$A$2:$C$16,3,FALSE),"No")&lt;&gt;"Yes"),0,F37)</x:f>
        <x:v>0</x:v>
      </x:c>
      <x:c r="O37" s="119" t="n">
        <x:f>IF(OR(G37="",K37&lt;&gt;"Yes",L37=0,IFERROR(VLOOKUP(G37,'Grade Scale'!$A$2:$C$16,3,FALSE),"No")&lt;&gt;"Yes"),0,H37*L37)</x:f>
        <x:v>0</x:v>
      </x:c>
      <x:c r="P37" s="120" t="n">
        <x:f>IF(OR(G37="",K37&lt;&gt;"Yes",L37=0,IFERROR(VLOOKUP(G37,'Grade Scale'!$A$2:$C$16,3,FALSE),"No")&lt;&gt;"Yes"),0,9*L37)</x:f>
        <x:v>0</x:v>
      </x:c>
      <x:c r="Q37" s="160" t="str">
        <x:v>Remaining</x:v>
      </x:c>
    </x:row>
    <x:row r="38">
      <x:c r="A38" s="84" t="n">
        <x:v>4</x:v>
      </x:c>
      <x:c r="B38" s="85" t="str">
        <x:v>TBC-S1</x:v>
      </x:c>
      <x:c r="C38" s="85" t="str">
        <x:v>OPTION 1</x:v>
      </x:c>
      <x:c r="D38" s="100" t="str">
        <x:v>Level 8 optional course 1</x:v>
      </x:c>
      <x:c r="E38" s="85" t="n">
        <x:v>8</x:v>
      </x:c>
      <x:c r="F38" s="85" t="n">
        <x:v>15</x:v>
      </x:c>
      <x:c r="G38" s="106" t="str"/>
      <x:c r="H38" s="112" t="str">
        <x:f>IF(G38="","",IFERROR(VLOOKUP(G38,'Grade Scale'!$A$2:$B$16,2,FALSE),""))</x:f>
      </x:c>
      <x:c r="I38" s="106" t="str">
        <x:v>Yes</x:v>
      </x:c>
      <x:c r="J38" s="106" t="str">
        <x:v>Major Optional</x:v>
      </x:c>
      <x:c r="K38" s="106" t="str">
        <x:v>Yes</x:v>
      </x:c>
      <x:c r="L38" s="119" t="n">
        <x:f>IF(E38=6,1,IF(E38=7,2,IF(E38=8,3,0)))</x:f>
        <x:v>3</x:v>
      </x:c>
      <x:c r="M38" s="119" t="n">
        <x:f>IF(OR(G38="",I38&lt;&gt;"Yes",IFERROR(VLOOKUP(G38,'Grade Scale'!$A$2:$C$16,3,FALSE),"No")&lt;&gt;"Yes"),0,H38*F38)</x:f>
        <x:v>0</x:v>
      </x:c>
      <x:c r="N38" s="119" t="n">
        <x:f>IF(OR(G38="",I38&lt;&gt;"Yes",IFERROR(VLOOKUP(G38,'Grade Scale'!$A$2:$C$16,3,FALSE),"No")&lt;&gt;"Yes"),0,F38)</x:f>
        <x:v>0</x:v>
      </x:c>
      <x:c r="O38" s="119" t="n">
        <x:f>IF(OR(G38="",K38&lt;&gt;"Yes",L38=0,IFERROR(VLOOKUP(G38,'Grade Scale'!$A$2:$C$16,3,FALSE),"No")&lt;&gt;"Yes"),0,H38*L38)</x:f>
        <x:v>0</x:v>
      </x:c>
      <x:c r="P38" s="120" t="n">
        <x:f>IF(OR(G38="",K38&lt;&gt;"Yes",L38=0,IFERROR(VLOOKUP(G38,'Grade Scale'!$A$2:$C$16,3,FALSE),"No")&lt;&gt;"Yes"),0,9*L38)</x:f>
        <x:v>0</x:v>
      </x:c>
      <x:c r="Q38" s="160" t="str">
        <x:v>Remaining</x:v>
      </x:c>
    </x:row>
    <x:row r="39">
      <x:c r="A39" s="84" t="n">
        <x:v>4</x:v>
      </x:c>
      <x:c r="B39" s="85" t="str">
        <x:v>TBC-S1</x:v>
      </x:c>
      <x:c r="C39" s="85" t="str">
        <x:v>OPTION 2</x:v>
      </x:c>
      <x:c r="D39" s="100" t="str">
        <x:v>Level 8 optional course 2</x:v>
      </x:c>
      <x:c r="E39" s="85" t="n">
        <x:v>8</x:v>
      </x:c>
      <x:c r="F39" s="85" t="n">
        <x:v>15</x:v>
      </x:c>
      <x:c r="G39" s="106" t="str"/>
      <x:c r="H39" s="112" t="str">
        <x:f>IF(G39="","",IFERROR(VLOOKUP(G39,'Grade Scale'!$A$2:$B$16,2,FALSE),""))</x:f>
      </x:c>
      <x:c r="I39" s="106" t="str">
        <x:v>Yes</x:v>
      </x:c>
      <x:c r="J39" s="106" t="str">
        <x:v>Major Optional</x:v>
      </x:c>
      <x:c r="K39" s="106" t="str">
        <x:v>Yes</x:v>
      </x:c>
      <x:c r="L39" s="119" t="n">
        <x:f>IF(E39=6,1,IF(E39=7,2,IF(E39=8,3,0)))</x:f>
        <x:v>3</x:v>
      </x:c>
      <x:c r="M39" s="119" t="n">
        <x:f>IF(OR(G39="",I39&lt;&gt;"Yes",IFERROR(VLOOKUP(G39,'Grade Scale'!$A$2:$C$16,3,FALSE),"No")&lt;&gt;"Yes"),0,H39*F39)</x:f>
        <x:v>0</x:v>
      </x:c>
      <x:c r="N39" s="119" t="n">
        <x:f>IF(OR(G39="",I39&lt;&gt;"Yes",IFERROR(VLOOKUP(G39,'Grade Scale'!$A$2:$C$16,3,FALSE),"No")&lt;&gt;"Yes"),0,F39)</x:f>
        <x:v>0</x:v>
      </x:c>
      <x:c r="O39" s="119" t="n">
        <x:f>IF(OR(G39="",K39&lt;&gt;"Yes",L39=0,IFERROR(VLOOKUP(G39,'Grade Scale'!$A$2:$C$16,3,FALSE),"No")&lt;&gt;"Yes"),0,H39*L39)</x:f>
        <x:v>0</x:v>
      </x:c>
      <x:c r="P39" s="120" t="n">
        <x:f>IF(OR(G39="",K39&lt;&gt;"Yes",L39=0,IFERROR(VLOOKUP(G39,'Grade Scale'!$A$2:$C$16,3,FALSE),"No")&lt;&gt;"Yes"),0,9*L39)</x:f>
        <x:v>0</x:v>
      </x:c>
      <x:c r="Q39" s="160" t="str">
        <x:v>Remaining</x:v>
      </x:c>
    </x:row>
    <x:row r="40">
      <x:c r="A40" s="84" t="n">
        <x:v>4</x:v>
      </x:c>
      <x:c r="B40" s="85" t="str">
        <x:v>TBC-S2</x:v>
      </x:c>
      <x:c r="C40" s="85" t="str">
        <x:v>ENGE892</x:v>
      </x:c>
      <x:c r="D40" s="100" t="str">
        <x:v>Final Year Research Project (Part B)</x:v>
      </x:c>
      <x:c r="E40" s="85" t="n">
        <x:v>8</x:v>
      </x:c>
      <x:c r="F40" s="85" t="n">
        <x:v>15</x:v>
      </x:c>
      <x:c r="G40" s="106" t="str"/>
      <x:c r="H40" s="112" t="str">
        <x:f>IF(G40="","",IFERROR(VLOOKUP(G40,'Grade Scale'!$A$2:$B$16,2,FALSE),""))</x:f>
      </x:c>
      <x:c r="I40" s="106" t="str">
        <x:v>Yes</x:v>
      </x:c>
      <x:c r="J40" s="106" t="str">
        <x:v>Core</x:v>
      </x:c>
      <x:c r="K40" s="106" t="str">
        <x:v>Yes</x:v>
      </x:c>
      <x:c r="L40" s="119" t="n">
        <x:f>IF(E40=6,1,IF(E40=7,2,IF(E40=8,3,0)))</x:f>
        <x:v>3</x:v>
      </x:c>
      <x:c r="M40" s="119" t="n">
        <x:f>IF(OR(G40="",I40&lt;&gt;"Yes",IFERROR(VLOOKUP(G40,'Grade Scale'!$A$2:$C$16,3,FALSE),"No")&lt;&gt;"Yes"),0,H40*F40)</x:f>
        <x:v>0</x:v>
      </x:c>
      <x:c r="N40" s="119" t="n">
        <x:f>IF(OR(G40="",I40&lt;&gt;"Yes",IFERROR(VLOOKUP(G40,'Grade Scale'!$A$2:$C$16,3,FALSE),"No")&lt;&gt;"Yes"),0,F40)</x:f>
        <x:v>0</x:v>
      </x:c>
      <x:c r="O40" s="119" t="n">
        <x:f>IF(OR(G40="",K40&lt;&gt;"Yes",L40=0,IFERROR(VLOOKUP(G40,'Grade Scale'!$A$2:$C$16,3,FALSE),"No")&lt;&gt;"Yes"),0,H40*L40)</x:f>
        <x:v>0</x:v>
      </x:c>
      <x:c r="P40" s="120" t="n">
        <x:f>IF(OR(G40="",K40&lt;&gt;"Yes",L40=0,IFERROR(VLOOKUP(G40,'Grade Scale'!$A$2:$C$16,3,FALSE),"No")&lt;&gt;"Yes"),0,9*L40)</x:f>
        <x:v>0</x:v>
      </x:c>
      <x:c r="Q40" s="160" t="str">
        <x:v>Remaining</x:v>
      </x:c>
    </x:row>
    <x:row r="41">
      <x:c r="A41" s="84" t="n">
        <x:v>4</x:v>
      </x:c>
      <x:c r="B41" s="85" t="str">
        <x:v>TBC-S2</x:v>
      </x:c>
      <x:c r="C41" s="85" t="str">
        <x:v>ENGE803</x:v>
      </x:c>
      <x:c r="D41" s="100" t="str">
        <x:v>Innovation and Research Management</x:v>
      </x:c>
      <x:c r="E41" s="85" t="n">
        <x:v>8</x:v>
      </x:c>
      <x:c r="F41" s="85" t="n">
        <x:v>15</x:v>
      </x:c>
      <x:c r="G41" s="106" t="str"/>
      <x:c r="H41" s="112" t="str">
        <x:f>IF(G41="","",IFERROR(VLOOKUP(G41,'Grade Scale'!$A$2:$B$16,2,FALSE),""))</x:f>
      </x:c>
      <x:c r="I41" s="106" t="str">
        <x:v>Yes</x:v>
      </x:c>
      <x:c r="J41" s="106" t="str">
        <x:v>Core</x:v>
      </x:c>
      <x:c r="K41" s="106" t="str">
        <x:v>Yes</x:v>
      </x:c>
      <x:c r="L41" s="119" t="n">
        <x:f>IF(E41=6,1,IF(E41=7,2,IF(E41=8,3,0)))</x:f>
        <x:v>3</x:v>
      </x:c>
      <x:c r="M41" s="119" t="n">
        <x:f>IF(OR(G41="",I41&lt;&gt;"Yes",IFERROR(VLOOKUP(G41,'Grade Scale'!$A$2:$C$16,3,FALSE),"No")&lt;&gt;"Yes"),0,H41*F41)</x:f>
        <x:v>0</x:v>
      </x:c>
      <x:c r="N41" s="119" t="n">
        <x:f>IF(OR(G41="",I41&lt;&gt;"Yes",IFERROR(VLOOKUP(G41,'Grade Scale'!$A$2:$C$16,3,FALSE),"No")&lt;&gt;"Yes"),0,F41)</x:f>
        <x:v>0</x:v>
      </x:c>
      <x:c r="O41" s="119" t="n">
        <x:f>IF(OR(G41="",K41&lt;&gt;"Yes",L41=0,IFERROR(VLOOKUP(G41,'Grade Scale'!$A$2:$C$16,3,FALSE),"No")&lt;&gt;"Yes"),0,H41*L41)</x:f>
        <x:v>0</x:v>
      </x:c>
      <x:c r="P41" s="120" t="n">
        <x:f>IF(OR(G41="",K41&lt;&gt;"Yes",L41=0,IFERROR(VLOOKUP(G41,'Grade Scale'!$A$2:$C$16,3,FALSE),"No")&lt;&gt;"Yes"),0,9*L41)</x:f>
        <x:v>0</x:v>
      </x:c>
      <x:c r="Q41" s="160" t="str">
        <x:v>Remaining</x:v>
      </x:c>
    </x:row>
    <x:row r="42">
      <x:c r="A42" s="84" t="n">
        <x:v>4</x:v>
      </x:c>
      <x:c r="B42" s="85" t="str">
        <x:v>TBC-S2</x:v>
      </x:c>
      <x:c r="C42" s="85" t="str">
        <x:v>OPTION 3</x:v>
      </x:c>
      <x:c r="D42" s="100" t="str">
        <x:v>Level 8 optional course 3</x:v>
      </x:c>
      <x:c r="E42" s="85" t="n">
        <x:v>8</x:v>
      </x:c>
      <x:c r="F42" s="85" t="n">
        <x:v>15</x:v>
      </x:c>
      <x:c r="G42" s="106" t="str"/>
      <x:c r="H42" s="112" t="str">
        <x:f>IF(G42="","",IFERROR(VLOOKUP(G42,'Grade Scale'!$A$2:$B$16,2,FALSE),""))</x:f>
      </x:c>
      <x:c r="I42" s="106" t="str">
        <x:v>Yes</x:v>
      </x:c>
      <x:c r="J42" s="106" t="str">
        <x:v>Major Optional</x:v>
      </x:c>
      <x:c r="K42" s="106" t="str">
        <x:v>Yes</x:v>
      </x:c>
      <x:c r="L42" s="119" t="n">
        <x:f>IF(E42=6,1,IF(E42=7,2,IF(E42=8,3,0)))</x:f>
        <x:v>3</x:v>
      </x:c>
      <x:c r="M42" s="119" t="n">
        <x:f>IF(OR(G42="",I42&lt;&gt;"Yes",IFERROR(VLOOKUP(G42,'Grade Scale'!$A$2:$C$16,3,FALSE),"No")&lt;&gt;"Yes"),0,H42*F42)</x:f>
        <x:v>0</x:v>
      </x:c>
      <x:c r="N42" s="119" t="n">
        <x:f>IF(OR(G42="",I42&lt;&gt;"Yes",IFERROR(VLOOKUP(G42,'Grade Scale'!$A$2:$C$16,3,FALSE),"No")&lt;&gt;"Yes"),0,F42)</x:f>
        <x:v>0</x:v>
      </x:c>
      <x:c r="O42" s="119" t="n">
        <x:f>IF(OR(G42="",K42&lt;&gt;"Yes",L42=0,IFERROR(VLOOKUP(G42,'Grade Scale'!$A$2:$C$16,3,FALSE),"No")&lt;&gt;"Yes"),0,H42*L42)</x:f>
        <x:v>0</x:v>
      </x:c>
      <x:c r="P42" s="120" t="n">
        <x:f>IF(OR(G42="",K42&lt;&gt;"Yes",L42=0,IFERROR(VLOOKUP(G42,'Grade Scale'!$A$2:$C$16,3,FALSE),"No")&lt;&gt;"Yes"),0,9*L42)</x:f>
        <x:v>0</x:v>
      </x:c>
      <x:c r="Q42" s="160" t="str">
        <x:v>Remaining</x:v>
      </x:c>
    </x:row>
    <x:row r="43">
      <x:c r="A43" s="87" t="n">
        <x:v>4</x:v>
      </x:c>
      <x:c r="B43" s="88" t="str">
        <x:v>TBC-S2</x:v>
      </x:c>
      <x:c r="C43" s="88" t="str">
        <x:v>OPTION 4</x:v>
      </x:c>
      <x:c r="D43" s="101" t="str">
        <x:v>Level 8 optional course 4</x:v>
      </x:c>
      <x:c r="E43" s="88" t="n">
        <x:v>8</x:v>
      </x:c>
      <x:c r="F43" s="88" t="n">
        <x:v>15</x:v>
      </x:c>
      <x:c r="G43" s="107" t="str"/>
      <x:c r="H43" s="113" t="str">
        <x:f>IF(G43="","",IFERROR(VLOOKUP(G43,'Grade Scale'!$A$2:$B$16,2,FALSE),""))</x:f>
      </x:c>
      <x:c r="I43" s="107" t="str">
        <x:v>Yes</x:v>
      </x:c>
      <x:c r="J43" s="107" t="str">
        <x:v>Major Optional</x:v>
      </x:c>
      <x:c r="K43" s="107" t="str">
        <x:v>Yes</x:v>
      </x:c>
      <x:c r="L43" s="121" t="n">
        <x:f>IF(E43=6,1,IF(E43=7,2,IF(E43=8,3,0)))</x:f>
        <x:v>3</x:v>
      </x:c>
      <x:c r="M43" s="121" t="n">
        <x:f>IF(OR(G43="",I43&lt;&gt;"Yes",IFERROR(VLOOKUP(G43,'Grade Scale'!$A$2:$C$16,3,FALSE),"No")&lt;&gt;"Yes"),0,H43*F43)</x:f>
        <x:v>0</x:v>
      </x:c>
      <x:c r="N43" s="121" t="n">
        <x:f>IF(OR(G43="",I43&lt;&gt;"Yes",IFERROR(VLOOKUP(G43,'Grade Scale'!$A$2:$C$16,3,FALSE),"No")&lt;&gt;"Yes"),0,F43)</x:f>
        <x:v>0</x:v>
      </x:c>
      <x:c r="O43" s="121" t="n">
        <x:f>IF(OR(G43="",K43&lt;&gt;"Yes",L43=0,IFERROR(VLOOKUP(G43,'Grade Scale'!$A$2:$C$16,3,FALSE),"No")&lt;&gt;"Yes"),0,H43*L43)</x:f>
        <x:v>0</x:v>
      </x:c>
      <x:c r="P43" s="122" t="n">
        <x:f>IF(OR(G43="",K43&lt;&gt;"Yes",L43=0,IFERROR(VLOOKUP(G43,'Grade Scale'!$A$2:$C$16,3,FALSE),"No")&lt;&gt;"Yes"),0,9*L43)</x:f>
        <x:v>0</x:v>
      </x:c>
      <x:c r="Q43" s="161" t="str">
        <x:v>Remaining</x:v>
      </x:c>
    </x:row>
  </x:sheetData>
  <x:mergeCells>
    <x:mergeCell ref="A1:P1"/>
  </x:mergeCells>
  <x:conditionalFormatting sqref="H11:H43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Q11:Q43">
    <x:cfRule type="expression" dxfId="0" priority="2">
      <x:formula>Q11="Current"</x:formula>
    </x:cfRule>
    <x:cfRule type="expression" dxfId="1" priority="3">
      <x:formula>Q11="Completed"</x:formula>
    </x:cfRule>
  </x:conditionalFormatting>
  <x:dataValidations count="5">
    <x:dataValidation type="list" sqref="G11:G43">
      <x:formula1>",A+,A,A-,B+,B,B-,C+,C,C-,D,CO,DNC,W,S,CR"</x:formula1>
    </x:dataValidation>
    <x:dataValidation type="list" sqref="I11:I43">
      <x:formula1>"Yes,No"</x:formula1>
    </x:dataValidation>
    <x:dataValidation type="list" sqref="J11:J43">
      <x:formula1>"Core,Major Optional,General Elective"</x:formula1>
    </x:dataValidation>
    <x:dataValidation type="list" sqref="K11:K43">
      <x:formula1>"Yes,No"</x:formula1>
    </x:dataValidation>
    <x:dataValidation type="list" sqref="Q11:Q43">
      <x:formula1>"Completed,Current,Remaining"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38" hidden="0" customWidth="1"/>
  </x:cols>
  <x:sheetData>
    <x:row r="1">
      <x:c r="A1" s="5" t="str">
        <x:v>Grade</x:v>
      </x:c>
      <x:c r="B1" s="5" t="str">
        <x:v>Grade Point</x:v>
      </x:c>
      <x:c r="C1" s="5" t="str">
        <x:v>Included in calculations?</x:v>
      </x:c>
      <x:c r="D1" s="5" t="str">
        <x:v>Description</x:v>
      </x:c>
    </x:row>
    <x:row r="2">
      <x:c r="A2" s="10" t="str">
        <x:v>A+</x:v>
      </x:c>
      <x:c r="B2" s="11" t="n">
        <x:v>9</x:v>
      </x:c>
      <x:c r="C2" s="11" t="str">
        <x:v>Yes</x:v>
      </x:c>
      <x:c r="D2" s="12" t="str">
        <x:v>Pass with Distinction</x:v>
      </x:c>
    </x:row>
    <x:row r="3">
      <x:c r="A3" s="13" t="str">
        <x:v>A</x:v>
      </x:c>
      <x:c r="B3" s="14" t="n">
        <x:v>8</x:v>
      </x:c>
      <x:c r="C3" s="14" t="str">
        <x:v>Yes</x:v>
      </x:c>
      <x:c r="D3" s="15" t="str">
        <x:v>Pass with Distinction</x:v>
      </x:c>
    </x:row>
    <x:row r="4">
      <x:c r="A4" s="13" t="str">
        <x:v>A-</x:v>
      </x:c>
      <x:c r="B4" s="14" t="n">
        <x:v>7</x:v>
      </x:c>
      <x:c r="C4" s="14" t="str">
        <x:v>Yes</x:v>
      </x:c>
      <x:c r="D4" s="15" t="str">
        <x:v>Pass with Distinction</x:v>
      </x:c>
    </x:row>
    <x:row r="5">
      <x:c r="A5" s="13" t="str">
        <x:v>B+</x:v>
      </x:c>
      <x:c r="B5" s="14" t="n">
        <x:v>6</x:v>
      </x:c>
      <x:c r="C5" s="14" t="str">
        <x:v>Yes</x:v>
      </x:c>
      <x:c r="D5" s="15" t="str">
        <x:v>Pass with Merit</x:v>
      </x:c>
    </x:row>
    <x:row r="6">
      <x:c r="A6" s="13" t="str">
        <x:v>B</x:v>
      </x:c>
      <x:c r="B6" s="14" t="n">
        <x:v>5</x:v>
      </x:c>
      <x:c r="C6" s="14" t="str">
        <x:v>Yes</x:v>
      </x:c>
      <x:c r="D6" s="15" t="str">
        <x:v>Pass with Merit</x:v>
      </x:c>
    </x:row>
    <x:row r="7">
      <x:c r="A7" s="13" t="str">
        <x:v>B-</x:v>
      </x:c>
      <x:c r="B7" s="14" t="n">
        <x:v>4</x:v>
      </x:c>
      <x:c r="C7" s="14" t="str">
        <x:v>Yes</x:v>
      </x:c>
      <x:c r="D7" s="15" t="str">
        <x:v>Pass with Merit</x:v>
      </x:c>
    </x:row>
    <x:row r="8">
      <x:c r="A8" s="13" t="str">
        <x:v>C+</x:v>
      </x:c>
      <x:c r="B8" s="14" t="n">
        <x:v>3</x:v>
      </x:c>
      <x:c r="C8" s="14" t="str">
        <x:v>Yes</x:v>
      </x:c>
      <x:c r="D8" s="15" t="str">
        <x:v>Pass</x:v>
      </x:c>
    </x:row>
    <x:row r="9">
      <x:c r="A9" s="13" t="str">
        <x:v>C</x:v>
      </x:c>
      <x:c r="B9" s="14" t="n">
        <x:v>2</x:v>
      </x:c>
      <x:c r="C9" s="14" t="str">
        <x:v>Yes</x:v>
      </x:c>
      <x:c r="D9" s="15" t="str">
        <x:v>Pass</x:v>
      </x:c>
    </x:row>
    <x:row r="10">
      <x:c r="A10" s="13" t="str">
        <x:v>C-</x:v>
      </x:c>
      <x:c r="B10" s="14" t="n">
        <x:v>1</x:v>
      </x:c>
      <x:c r="C10" s="14" t="str">
        <x:v>Yes</x:v>
      </x:c>
      <x:c r="D10" s="15" t="str">
        <x:v>Pass</x:v>
      </x:c>
    </x:row>
    <x:row r="11">
      <x:c r="A11" s="13" t="str">
        <x:v>D</x:v>
      </x:c>
      <x:c r="B11" s="14" t="n">
        <x:v>0</x:v>
      </x:c>
      <x:c r="C11" s="14" t="str">
        <x:v>Yes</x:v>
      </x:c>
      <x:c r="D11" s="15" t="str">
        <x:v>Specified Fail — every D is included</x:v>
      </x:c>
    </x:row>
    <x:row r="12">
      <x:c r="A12" s="13" t="str">
        <x:v>CO</x:v>
      </x:c>
      <x:c r="B12" s="14" t="n">
        <x:v>0</x:v>
      </x:c>
      <x:c r="C12" s="14" t="str">
        <x:v>Yes</x:v>
      </x:c>
      <x:c r="D12" s="15" t="str">
        <x:v>Conceded Pass</x:v>
      </x:c>
    </x:row>
    <x:row r="13">
      <x:c r="A13" s="13" t="str">
        <x:v>DNC</x:v>
      </x:c>
      <x:c r="B13" s="14" t="n">
        <x:v>0</x:v>
      </x:c>
      <x:c r="C13" s="14" t="str">
        <x:v>Yes</x:v>
      </x:c>
      <x:c r="D13" s="15" t="str">
        <x:v>Did Not Complete</x:v>
      </x:c>
    </x:row>
    <x:row r="14">
      <x:c r="A14" s="13" t="str">
        <x:v>W</x:v>
      </x:c>
      <x:c r="B14" s="14" t="n">
        <x:v>0</x:v>
      </x:c>
      <x:c r="C14" s="14" t="str">
        <x:v>No</x:v>
      </x:c>
      <x:c r="D14" s="15" t="str">
        <x:v>Withdrawn</x:v>
      </x:c>
    </x:row>
    <x:row r="15">
      <x:c r="A15" s="13" t="str">
        <x:v>S</x:v>
      </x:c>
      <x:c r="B15" s="14" t="n">
        <x:v>0</x:v>
      </x:c>
      <x:c r="C15" s="14" t="str">
        <x:v>No</x:v>
      </x:c>
      <x:c r="D15" s="15" t="str">
        <x:v>Special Consideration / Aegrotat Pass</x:v>
      </x:c>
    </x:row>
    <x:row r="16">
      <x:c r="A16" s="16" t="str">
        <x:v>CR</x:v>
      </x:c>
      <x:c r="B16" s="17" t="n">
        <x:v>0</x:v>
      </x:c>
      <x:c r="C16" s="17" t="str">
        <x:v>No</x:v>
      </x:c>
      <x:c r="D16" s="18" t="str">
        <x:v>Credit for Prior Learning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0" hidden="0" customWidth="1"/>
  </x:cols>
  <x:sheetData>
    <x:row r="1">
      <x:c r="A1" s="145" t="str">
        <x:v>How to use this workbook</x:v>
      </x:c>
      <x:c r="B1" s="146"/>
    </x:row>
    <x:row r="2">
      <x:c r="A2" s="147" t="str">
        <x:v>1</x:v>
      </x:c>
      <x:c r="B2" s="148" t="str">
        <x:v>Enter or change grades using the dropdowns in the yellow Grade column.</x:v>
      </x:c>
    </x:row>
    <x:row r="3">
      <x:c r="A3" s="147" t="str">
        <x:v>2</x:v>
      </x:c>
      <x:c r="B3" s="148" t="str">
        <x:v>Use GPA Include? to remove a course from the normal GPA when required.</x:v>
      </x:c>
    </x:row>
    <x:row r="4">
      <x:c r="A4" s="147" t="str">
        <x:v>3</x:v>
      </x:c>
      <x:c r="B4" s="148" t="str">
        <x:v>Use eGPA Include? to identify courses that belong in the official Honours calculation.</x:v>
      </x:c>
    </x:row>
    <x:row r="5">
      <x:c r="A5" s="147" t="str">
        <x:v>4</x:v>
      </x:c>
      <x:c r="B5" s="148" t="str">
        <x:v>Level 5 courses have zero eGPA weight. Level 6 = 1, Level 7 = 2, Level 8 = 3.</x:v>
      </x:c>
    </x:row>
    <x:row r="6">
      <x:c r="A6" s="147" t="str">
        <x:v>5</x:v>
      </x:c>
      <x:c r="B6" s="148" t="str">
        <x:v>The official Honours calculation treats each paper equally within its level; course points do not alter eGPA weighting.</x:v>
      </x:c>
    </x:row>
    <x:row r="7">
      <x:c r="A7" s="147" t="str">
        <x:v>6</x:v>
      </x:c>
      <x:c r="B7" s="148" t="str">
        <x:v>Every D is included. W, S and CR grades are excluded.</x:v>
      </x:c>
    </x:row>
    <x:row r="8">
      <x:c r="A8" s="147" t="str">
        <x:v>7</x:v>
      </x:c>
      <x:c r="B8" s="148" t="str">
        <x:v>General electives are excluded. Core and major-specific optional courses are included.</x:v>
      </x:c>
    </x:row>
    <x:row r="9">
      <x:c r="A9" s="147" t="str">
        <x:v>8</x:v>
      </x:c>
      <x:c r="B9" s="148" t="str">
        <x:v>The failed 2025 Thermodynamics attempt is retained because every D is included; the repeat attempt can also be entered.</x:v>
      </x:c>
    </x:row>
    <x:row r="10">
      <x:c r="A10" s="147" t="str"/>
      <x:c r="B10" s="148"/>
    </x:row>
    <x:row r="11">
      <x:c r="A11" s="149" t="str">
        <x:v>Official Honours bands (for completion in 2026 or later)</x:v>
      </x:c>
      <x:c r="B11" s="150"/>
    </x:row>
    <x:row r="12">
      <x:c r="A12" s="147" t="str">
        <x:v>First Class</x:v>
      </x:c>
      <x:c r="B12" s="148" t="str">
        <x:v>6.50 to 9.00</x:v>
      </x:c>
    </x:row>
    <x:row r="13">
      <x:c r="A13" s="147" t="str">
        <x:v>Second Class, First Division</x:v>
      </x:c>
      <x:c r="B13" s="148" t="str">
        <x:v>5.50 to 6.49</x:v>
      </x:c>
    </x:row>
    <x:row r="14">
      <x:c r="A14" s="147" t="str">
        <x:v>Second Class, Second Division</x:v>
      </x:c>
      <x:c r="B14" s="148" t="str">
        <x:v>4.00 to 5.49</x:v>
      </x:c>
    </x:row>
    <x:row r="15">
      <x:c r="A15" s="147" t="str">
        <x:v>Third Class</x:v>
      </x:c>
      <x:c r="B15" s="148" t="str">
        <x:v>0.50 to 3.99</x:v>
      </x:c>
    </x:row>
    <x:row r="16">
      <x:c r="A16" s="147" t="str"/>
      <x:c r="B16" s="148"/>
    </x:row>
    <x:row r="17">
      <x:c r="A17" s="149" t="str">
        <x:v>Formula</x:v>
      </x:c>
      <x:c r="B17" s="150"/>
    </x:row>
    <x:row r="18">
      <x:c r="A18" s="151" t="str">
        <x:v>eGPA</x:v>
      </x:c>
      <x:c r="B18" s="152" t="str">
        <x:v>(Σ Level 6 GP + Σ Level 7 GP×2 + Σ Level 8 GP×3) ÷ weighted maximum × 9</x:v>
      </x:c>
    </x:row>
    <x:row r="20">
      <x:c r="A20" s="176" t="str">
        <x:v>First Class planning cell</x:v>
      </x:c>
      <x:c r="B20" s="177" t="str"/>
    </x:row>
    <x:row r="21">
      <x:c r="A21" s="178" t="str">
        <x:v>Required average GP</x:v>
      </x:c>
      <x:c r="B21" s="179" t="str">
        <x:v>The grade-point average needed across all blank Honours-counted courses to finish on an eGPA of 6.50.</x:v>
      </x:c>
    </x:row>
    <x:row r="22">
      <x:c r="A22" s="178" t="str">
        <x:v>No grades below</x:v>
      </x:c>
      <x:c r="B22" s="179" t="str">
        <x:v>The next whole grade at or above that required average. Getting at least this grade in every remaining Honours-counted course guarantees the target, assuming no exclusions or course changes.</x:v>
      </x:c>
    </x:row>
    <x:row r="23">
      <x:c r="A23" s="180" t="str">
        <x:v>Current courses</x:v>
      </x:c>
      <x:c r="B23" s="181" t="str">
        <x:v>Thermodynamics repeat, Communication Engineering, Data Engineering and AI, and Engineering Mathematics III are included as blank Current courses—not as A+ grades.</x:v>
      </x:c>
    </x:row>
  </x:sheetData>
  <x:mergeCells>
    <x:mergeCell ref="A1:B1"/>
  </x:mergeCells>
  <x:pageMargins left="0.7" right="0.7" top="0.75" bottom="0.75" header="0.3" footer="0.3"/>
</x:worksheet>
</file>